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8_{B2A7F72E-6FA9-4CED-9D15-7685532C3330}" xr6:coauthVersionLast="36" xr6:coauthVersionMax="36" xr10:uidLastSave="{00000000-0000-0000-0000-000000000000}"/>
  <bookViews>
    <workbookView xWindow="0" yWindow="0" windowWidth="28800" windowHeight="12225" xr2:uid="{9DBC904C-B40A-483A-A9C7-6A1FA156089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D12" i="1"/>
  <c r="E12" i="1"/>
  <c r="D11" i="1"/>
  <c r="E11" i="1" s="1"/>
  <c r="E8" i="1"/>
  <c r="E9" i="1"/>
  <c r="E10" i="1"/>
  <c r="D6" i="1"/>
  <c r="E6" i="1" s="1"/>
  <c r="D7" i="1"/>
  <c r="E7" i="1" s="1"/>
  <c r="D8" i="1"/>
  <c r="D9" i="1"/>
  <c r="D10" i="1"/>
  <c r="D5" i="1"/>
  <c r="E5" i="1" s="1"/>
</calcChain>
</file>

<file path=xl/sharedStrings.xml><?xml version="1.0" encoding="utf-8"?>
<sst xmlns="http://schemas.openxmlformats.org/spreadsheetml/2006/main" count="18" uniqueCount="18">
  <si>
    <t>Nyelvvizsga</t>
  </si>
  <si>
    <t>összpontszám</t>
  </si>
  <si>
    <t>Név</t>
  </si>
  <si>
    <t>Csabai Gyula</t>
  </si>
  <si>
    <t>Dolgos Péter</t>
  </si>
  <si>
    <t>Kovács Béla</t>
  </si>
  <si>
    <t>Lapos Elemér</t>
  </si>
  <si>
    <t>Okos Tünde</t>
  </si>
  <si>
    <t>Tóth Amália</t>
  </si>
  <si>
    <t>Elért pont</t>
  </si>
  <si>
    <t>százalék</t>
  </si>
  <si>
    <t>Sikeres-e?</t>
  </si>
  <si>
    <t>Átlag:</t>
  </si>
  <si>
    <t>Legkevesebb pont:</t>
  </si>
  <si>
    <t>Legtöbb pont:</t>
  </si>
  <si>
    <t>Össz sikeres:</t>
  </si>
  <si>
    <t>Radih Roland</t>
  </si>
  <si>
    <t>Benike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</si>
</sst>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2" borderId="5" xfId="1" applyFon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5" xfId="0" applyFill="1" applyBorder="1"/>
    <xf numFmtId="0" fontId="0" fillId="0" borderId="7" xfId="0" applyBorder="1"/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9" xfId="0" applyFont="1" applyFill="1" applyBorder="1"/>
    <xf numFmtId="0" fontId="2" fillId="4" borderId="8" xfId="0" applyFont="1" applyFill="1" applyBorder="1" applyAlignment="1">
      <alignment horizontal="right"/>
    </xf>
    <xf numFmtId="0" fontId="2" fillId="4" borderId="8" xfId="0" applyFon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Nyelvvizsga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Munka1!$B$5:$B$12</c:f>
              <c:strCache>
                <c:ptCount val="8"/>
                <c:pt idx="0">
                  <c:v>Csabai Gyula</c:v>
                </c:pt>
                <c:pt idx="1">
                  <c:v>Dolgos Péter</c:v>
                </c:pt>
                <c:pt idx="2">
                  <c:v>Kovács Béla</c:v>
                </c:pt>
                <c:pt idx="3">
                  <c:v>Lapos Elemér</c:v>
                </c:pt>
                <c:pt idx="4">
                  <c:v>Okos Tünde</c:v>
                </c:pt>
                <c:pt idx="5">
                  <c:v>Tóth Amália</c:v>
                </c:pt>
                <c:pt idx="6">
                  <c:v>Radih Roland</c:v>
                </c:pt>
                <c:pt idx="7">
                  <c:v>Benike</c:v>
                </c:pt>
              </c:strCache>
            </c:strRef>
          </c:cat>
          <c:val>
            <c:numRef>
              <c:f>Munka1!$C$5:$C$12</c:f>
              <c:numCache>
                <c:formatCode>General</c:formatCode>
                <c:ptCount val="8"/>
                <c:pt idx="0">
                  <c:v>59</c:v>
                </c:pt>
                <c:pt idx="1">
                  <c:v>89</c:v>
                </c:pt>
                <c:pt idx="2">
                  <c:v>49</c:v>
                </c:pt>
                <c:pt idx="3">
                  <c:v>75</c:v>
                </c:pt>
                <c:pt idx="4">
                  <c:v>95</c:v>
                </c:pt>
                <c:pt idx="5">
                  <c:v>60</c:v>
                </c:pt>
                <c:pt idx="6">
                  <c:v>100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7-487D-A88C-B3F8B1C618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405154688"/>
        <c:axId val="481446496"/>
      </c:barChart>
      <c:catAx>
        <c:axId val="405154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81446496"/>
        <c:crosses val="autoZero"/>
        <c:auto val="1"/>
        <c:lblAlgn val="ctr"/>
        <c:lblOffset val="100"/>
        <c:noMultiLvlLbl val="0"/>
      </c:catAx>
      <c:valAx>
        <c:axId val="481446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515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194009</xdr:colOff>
      <xdr:row>7</xdr:row>
      <xdr:rowOff>66676</xdr:rowOff>
    </xdr:from>
    <xdr:to>
      <xdr:col>28</xdr:col>
      <xdr:colOff>466725</xdr:colOff>
      <xdr:row>36</xdr:row>
      <xdr:rowOff>28575</xdr:rowOff>
    </xdr:to>
    <xdr:pic>
      <xdr:nvPicPr>
        <xdr:cNvPr id="2" name="Kép 1" descr="J:\2026_2027\digkult\Nyelvvizsga.jpg">
          <a:extLst>
            <a:ext uri="{FF2B5EF4-FFF2-40B4-BE49-F238E27FC236}">
              <a16:creationId xmlns:a16="http://schemas.microsoft.com/office/drawing/2014/main" id="{91A4C721-E66E-4C41-9BF4-5E9C5093F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6609" y="1476376"/>
          <a:ext cx="9416716" cy="559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295275</xdr:colOff>
      <xdr:row>1</xdr:row>
      <xdr:rowOff>109537</xdr:rowOff>
    </xdr:from>
    <xdr:to>
      <xdr:col>12</xdr:col>
      <xdr:colOff>600075</xdr:colOff>
      <xdr:row>15</xdr:row>
      <xdr:rowOff>42862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8DE7382-8DC2-4AB2-A8D4-5C7FA6CC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D04D-3E13-4B98-8607-848E3EC89BFF}">
  <dimension ref="B1:E18"/>
  <sheetViews>
    <sheetView tabSelected="1" workbookViewId="0">
      <selection activeCell="F20" sqref="F20"/>
    </sheetView>
  </sheetViews>
  <sheetFormatPr defaultRowHeight="15" x14ac:dyDescent="0.25"/>
  <cols>
    <col min="2" max="3" width="18.7109375" customWidth="1"/>
    <col min="4" max="5" width="10.42578125" customWidth="1"/>
  </cols>
  <sheetData>
    <row r="1" spans="2:5" ht="15.75" thickBot="1" x14ac:dyDescent="0.3"/>
    <row r="2" spans="2:5" ht="16.5" thickTop="1" thickBot="1" x14ac:dyDescent="0.3">
      <c r="B2" s="1" t="s">
        <v>0</v>
      </c>
      <c r="C2" s="2" t="s">
        <v>1</v>
      </c>
      <c r="D2" s="3">
        <v>100</v>
      </c>
      <c r="E2" s="4"/>
    </row>
    <row r="3" spans="2:5" ht="15.75" thickBot="1" x14ac:dyDescent="0.3">
      <c r="B3" s="5"/>
      <c r="C3" s="6"/>
      <c r="D3" s="6"/>
      <c r="E3" s="7"/>
    </row>
    <row r="4" spans="2:5" ht="15.75" thickBot="1" x14ac:dyDescent="0.3">
      <c r="B4" s="8" t="s">
        <v>2</v>
      </c>
      <c r="C4" s="9" t="s">
        <v>9</v>
      </c>
      <c r="D4" s="9" t="s">
        <v>10</v>
      </c>
      <c r="E4" s="10" t="s">
        <v>11</v>
      </c>
    </row>
    <row r="5" spans="2:5" ht="15.75" thickBot="1" x14ac:dyDescent="0.3">
      <c r="B5" s="5" t="s">
        <v>3</v>
      </c>
      <c r="C5" s="11">
        <v>59</v>
      </c>
      <c r="D5" s="12">
        <f>C5/$D$2</f>
        <v>0.59</v>
      </c>
      <c r="E5" s="16" t="str">
        <f t="shared" ref="E5:E9" si="0">IF(D5&gt;59%,"siker","-")</f>
        <v>-</v>
      </c>
    </row>
    <row r="6" spans="2:5" ht="15.75" thickBot="1" x14ac:dyDescent="0.3">
      <c r="B6" s="5" t="s">
        <v>4</v>
      </c>
      <c r="C6" s="11">
        <v>89</v>
      </c>
      <c r="D6" s="12">
        <f t="shared" ref="D6:D12" si="1">C6/$D$2</f>
        <v>0.89</v>
      </c>
      <c r="E6" s="16" t="str">
        <f t="shared" si="0"/>
        <v>siker</v>
      </c>
    </row>
    <row r="7" spans="2:5" ht="15.75" thickBot="1" x14ac:dyDescent="0.3">
      <c r="B7" s="5" t="s">
        <v>5</v>
      </c>
      <c r="C7" s="11">
        <v>49</v>
      </c>
      <c r="D7" s="12">
        <f t="shared" si="1"/>
        <v>0.49</v>
      </c>
      <c r="E7" s="16" t="str">
        <f t="shared" si="0"/>
        <v>-</v>
      </c>
    </row>
    <row r="8" spans="2:5" ht="15.75" thickBot="1" x14ac:dyDescent="0.3">
      <c r="B8" s="5" t="s">
        <v>6</v>
      </c>
      <c r="C8" s="11">
        <v>75</v>
      </c>
      <c r="D8" s="12">
        <f t="shared" si="1"/>
        <v>0.75</v>
      </c>
      <c r="E8" s="16" t="str">
        <f t="shared" si="0"/>
        <v>siker</v>
      </c>
    </row>
    <row r="9" spans="2:5" ht="15.75" thickBot="1" x14ac:dyDescent="0.3">
      <c r="B9" s="5" t="s">
        <v>7</v>
      </c>
      <c r="C9" s="11">
        <v>95</v>
      </c>
      <c r="D9" s="12">
        <f t="shared" si="1"/>
        <v>0.95</v>
      </c>
      <c r="E9" s="16" t="str">
        <f t="shared" si="0"/>
        <v>siker</v>
      </c>
    </row>
    <row r="10" spans="2:5" ht="15.75" thickBot="1" x14ac:dyDescent="0.3">
      <c r="B10" s="5" t="s">
        <v>8</v>
      </c>
      <c r="C10" s="11">
        <v>60</v>
      </c>
      <c r="D10" s="12">
        <f t="shared" si="1"/>
        <v>0.6</v>
      </c>
      <c r="E10" s="16" t="str">
        <f>IF(D10&gt;59%,"siker","-")</f>
        <v>siker</v>
      </c>
    </row>
    <row r="11" spans="2:5" ht="15.75" thickBot="1" x14ac:dyDescent="0.3">
      <c r="B11" s="5" t="s">
        <v>16</v>
      </c>
      <c r="C11" s="11">
        <v>100</v>
      </c>
      <c r="D11" s="12">
        <f t="shared" si="1"/>
        <v>1</v>
      </c>
      <c r="E11" s="16" t="str">
        <f>IF(D11&gt;59%,"siker","-")</f>
        <v>siker</v>
      </c>
    </row>
    <row r="12" spans="2:5" ht="15.75" thickBot="1" x14ac:dyDescent="0.3">
      <c r="B12" s="5" t="s">
        <v>17</v>
      </c>
      <c r="C12" s="11">
        <v>16</v>
      </c>
      <c r="D12" s="12">
        <f t="shared" si="1"/>
        <v>0.16</v>
      </c>
      <c r="E12" s="16" t="str">
        <f>IF(D12&gt;59%,"siker","-")</f>
        <v>-</v>
      </c>
    </row>
    <row r="13" spans="2:5" ht="15.75" thickBot="1" x14ac:dyDescent="0.3">
      <c r="B13" s="5"/>
      <c r="C13" s="6"/>
      <c r="D13" s="6"/>
      <c r="E13" s="7"/>
    </row>
    <row r="14" spans="2:5" ht="15.75" thickBot="1" x14ac:dyDescent="0.3">
      <c r="B14" s="5"/>
      <c r="C14" s="13" t="s">
        <v>12</v>
      </c>
      <c r="D14" s="14"/>
      <c r="E14" s="17">
        <f>AVERAGE(C5:C12)</f>
        <v>67.875</v>
      </c>
    </row>
    <row r="15" spans="2:5" ht="15.75" thickBot="1" x14ac:dyDescent="0.3">
      <c r="B15" s="5"/>
      <c r="C15" s="13" t="s">
        <v>13</v>
      </c>
      <c r="D15" s="14"/>
      <c r="E15" s="17">
        <f>MIN(C4:C12)</f>
        <v>16</v>
      </c>
    </row>
    <row r="16" spans="2:5" ht="15.75" thickBot="1" x14ac:dyDescent="0.3">
      <c r="B16" s="5"/>
      <c r="C16" s="13" t="s">
        <v>14</v>
      </c>
      <c r="D16" s="14"/>
      <c r="E16" s="17">
        <f>MAX(C5:C12)</f>
        <v>100</v>
      </c>
    </row>
    <row r="17" spans="2:5" ht="15.75" thickBot="1" x14ac:dyDescent="0.3">
      <c r="B17" s="15"/>
      <c r="C17" s="19" t="s">
        <v>15</v>
      </c>
      <c r="D17" s="20"/>
      <c r="E17" s="18">
        <f>COUNTIF(E5:E12,"siker")</f>
        <v>5</v>
      </c>
    </row>
    <row r="18" spans="2:5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Tulkán Csanád Tibor</dc:creator>
  <cp:lastModifiedBy>Tulkán Csanád Tibor</cp:lastModifiedBy>
  <dcterms:created xsi:type="dcterms:W3CDTF">2026-09-23T08:19:31Z</dcterms:created>
  <dcterms:modified xsi:type="dcterms:W3CDTF">2026-09-23T08:34:18Z</dcterms:modified>
</cp:coreProperties>
</file>