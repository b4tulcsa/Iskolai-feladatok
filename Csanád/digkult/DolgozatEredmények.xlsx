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35D492CF-D8B5-4A99-ACBC-544EE6C2E54C}" xr6:coauthVersionLast="36" xr6:coauthVersionMax="36" xr10:uidLastSave="{00000000-0000-0000-0000-000000000000}"/>
  <bookViews>
    <workbookView xWindow="0" yWindow="0" windowWidth="28800" windowHeight="12225" xr2:uid="{95211947-FE30-4FCE-9484-32500BD7E7A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E9" i="1" s="1"/>
  <c r="D6" i="1"/>
  <c r="E6" i="1" s="1"/>
  <c r="D3" i="1"/>
  <c r="E3" i="1" s="1"/>
  <c r="D4" i="1"/>
  <c r="E4" i="1" s="1"/>
  <c r="D5" i="1"/>
  <c r="E5" i="1" s="1"/>
  <c r="D7" i="1"/>
  <c r="E7" i="1" s="1"/>
  <c r="D8" i="1"/>
  <c r="E8" i="1" s="1"/>
  <c r="D2" i="1"/>
  <c r="E2" i="1" s="1"/>
</calcChain>
</file>

<file path=xl/sharedStrings.xml><?xml version="1.0" encoding="utf-8"?>
<sst xmlns="http://schemas.openxmlformats.org/spreadsheetml/2006/main" count="23" uniqueCount="22">
  <si>
    <t>Dolgozat</t>
  </si>
  <si>
    <t>Név</t>
  </si>
  <si>
    <t>Elért pont</t>
  </si>
  <si>
    <t>Jegy</t>
  </si>
  <si>
    <t>Ponthatárok</t>
  </si>
  <si>
    <t>Anna</t>
  </si>
  <si>
    <t>Alsó</t>
  </si>
  <si>
    <t>Felső</t>
  </si>
  <si>
    <t>Bella</t>
  </si>
  <si>
    <t>Cecília</t>
  </si>
  <si>
    <t>Dávid</t>
  </si>
  <si>
    <t>Frigyes</t>
  </si>
  <si>
    <t>Góliát</t>
  </si>
  <si>
    <t>Szöveges értékelés</t>
  </si>
  <si>
    <t>Minősítés</t>
  </si>
  <si>
    <t>Elégtelen</t>
  </si>
  <si>
    <t>Elégséges</t>
  </si>
  <si>
    <t>Közepes</t>
  </si>
  <si>
    <t>Jó</t>
  </si>
  <si>
    <t>Jeles</t>
  </si>
  <si>
    <t>Lajos</t>
  </si>
  <si>
    <t>Ferenc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</si>
</sst>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6" borderId="4" xfId="0" applyFill="1" applyBorder="1"/>
    <xf numFmtId="0" fontId="0" fillId="6" borderId="5" xfId="0" applyFill="1" applyBorder="1"/>
    <xf numFmtId="0" fontId="0" fillId="6" borderId="7" xfId="0" applyFill="1" applyBorder="1"/>
    <xf numFmtId="0" fontId="0" fillId="6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8" borderId="3" xfId="0" applyFill="1" applyBorder="1"/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CC00FF"/>
      <color rgb="FFCC99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hu-HU"/>
              <a:t>Dogozat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Munka1!$B$2:$B$9</c:f>
              <c:strCache>
                <c:ptCount val="8"/>
                <c:pt idx="0">
                  <c:v>Anna</c:v>
                </c:pt>
                <c:pt idx="1">
                  <c:v>Bella</c:v>
                </c:pt>
                <c:pt idx="2">
                  <c:v>Cecília</c:v>
                </c:pt>
                <c:pt idx="3">
                  <c:v>Dávid</c:v>
                </c:pt>
                <c:pt idx="4">
                  <c:v>Ferenc</c:v>
                </c:pt>
                <c:pt idx="5">
                  <c:v>Frigyes</c:v>
                </c:pt>
                <c:pt idx="6">
                  <c:v>Góliát</c:v>
                </c:pt>
                <c:pt idx="7">
                  <c:v>Lajos</c:v>
                </c:pt>
              </c:strCache>
            </c:strRef>
          </c:cat>
          <c:val>
            <c:numRef>
              <c:f>Munka1!$D$2:$D$9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B-4708-8C08-946CFA5A85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979294527"/>
        <c:axId val="2059625807"/>
      </c:barChart>
      <c:catAx>
        <c:axId val="197929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59625807"/>
        <c:crosses val="autoZero"/>
        <c:auto val="1"/>
        <c:lblAlgn val="ctr"/>
        <c:lblOffset val="100"/>
        <c:noMultiLvlLbl val="0"/>
      </c:catAx>
      <c:valAx>
        <c:axId val="205962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7929452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0</xdr:row>
      <xdr:rowOff>233362</xdr:rowOff>
    </xdr:from>
    <xdr:to>
      <xdr:col>16</xdr:col>
      <xdr:colOff>533400</xdr:colOff>
      <xdr:row>13</xdr:row>
      <xdr:rowOff>109537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5BFB23A7-4A83-4BB7-8A9C-94D39D5CB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7944-D9A7-4471-901B-1B956ABE8685}">
  <dimension ref="A1:I9"/>
  <sheetViews>
    <sheetView tabSelected="1" topLeftCell="B1" zoomScaleNormal="100" workbookViewId="0">
      <selection activeCell="E11" sqref="E11"/>
    </sheetView>
  </sheetViews>
  <sheetFormatPr defaultRowHeight="15" x14ac:dyDescent="0.25"/>
  <cols>
    <col min="1" max="9" width="11.85546875" customWidth="1"/>
  </cols>
  <sheetData>
    <row r="1" spans="1:9" ht="42" customHeight="1" x14ac:dyDescent="0.25">
      <c r="A1" s="19" t="s">
        <v>0</v>
      </c>
      <c r="B1" s="20" t="s">
        <v>1</v>
      </c>
      <c r="C1" s="20" t="s">
        <v>2</v>
      </c>
      <c r="D1" s="20" t="s">
        <v>3</v>
      </c>
      <c r="E1" s="21" t="s">
        <v>13</v>
      </c>
      <c r="F1" s="22" t="s">
        <v>4</v>
      </c>
      <c r="G1" s="23"/>
      <c r="H1" s="24"/>
    </row>
    <row r="2" spans="1:9" x14ac:dyDescent="0.25">
      <c r="B2" s="5" t="s">
        <v>5</v>
      </c>
      <c r="C2" s="6">
        <v>42</v>
      </c>
      <c r="D2" s="25">
        <f>VLOOKUP(C2,$F$3:$H$7,3)</f>
        <v>5</v>
      </c>
      <c r="E2" s="14" t="str">
        <f>VLOOKUP(D2,$H$3:$I$7,2)</f>
        <v>Jeles</v>
      </c>
      <c r="F2" s="15" t="s">
        <v>6</v>
      </c>
      <c r="G2" s="16" t="s">
        <v>7</v>
      </c>
      <c r="H2" s="17" t="s">
        <v>3</v>
      </c>
      <c r="I2" s="18" t="s">
        <v>14</v>
      </c>
    </row>
    <row r="3" spans="1:9" ht="15.75" x14ac:dyDescent="0.25">
      <c r="B3" s="7" t="s">
        <v>8</v>
      </c>
      <c r="C3" s="8">
        <v>23</v>
      </c>
      <c r="D3" s="25">
        <f>VLOOKUP(C3,$F$3:$H$7,3)</f>
        <v>3</v>
      </c>
      <c r="E3" s="14" t="str">
        <f>VLOOKUP(D3,$H$3:$I$7,2)</f>
        <v>Közepes</v>
      </c>
      <c r="F3" s="1">
        <v>0</v>
      </c>
      <c r="G3" s="2">
        <v>10</v>
      </c>
      <c r="H3" s="26">
        <v>1</v>
      </c>
      <c r="I3" s="11" t="s">
        <v>15</v>
      </c>
    </row>
    <row r="4" spans="1:9" ht="15.75" x14ac:dyDescent="0.25">
      <c r="B4" s="7" t="s">
        <v>9</v>
      </c>
      <c r="C4" s="8">
        <v>17</v>
      </c>
      <c r="D4" s="25">
        <f>VLOOKUP(C4,$F$3:$H$7,3)</f>
        <v>2</v>
      </c>
      <c r="E4" s="14" t="str">
        <f>VLOOKUP(D4,$H$3:$I$7,2)</f>
        <v>Elégséges</v>
      </c>
      <c r="F4" s="1">
        <v>11</v>
      </c>
      <c r="G4" s="2">
        <v>20</v>
      </c>
      <c r="H4" s="26">
        <v>2</v>
      </c>
      <c r="I4" s="12" t="s">
        <v>16</v>
      </c>
    </row>
    <row r="5" spans="1:9" ht="15.75" x14ac:dyDescent="0.25">
      <c r="B5" s="7" t="s">
        <v>10</v>
      </c>
      <c r="C5" s="8">
        <v>8</v>
      </c>
      <c r="D5" s="25">
        <f>VLOOKUP(C5,$F$3:$H$7,3)</f>
        <v>1</v>
      </c>
      <c r="E5" s="14" t="str">
        <f>VLOOKUP(D5,$H$3:$I$7,2)</f>
        <v>Elégtelen</v>
      </c>
      <c r="F5" s="1">
        <v>21</v>
      </c>
      <c r="G5" s="2">
        <v>30</v>
      </c>
      <c r="H5" s="26">
        <v>3</v>
      </c>
      <c r="I5" s="12" t="s">
        <v>17</v>
      </c>
    </row>
    <row r="6" spans="1:9" ht="15.75" x14ac:dyDescent="0.25">
      <c r="B6" s="7" t="s">
        <v>21</v>
      </c>
      <c r="C6" s="8">
        <v>15</v>
      </c>
      <c r="D6" s="25">
        <f>VLOOKUP(C6,$F$3:$H$7,3)</f>
        <v>2</v>
      </c>
      <c r="E6" s="14" t="str">
        <f>VLOOKUP(D6,$H$3:$I$7,2)</f>
        <v>Elégséges</v>
      </c>
      <c r="F6" s="1">
        <v>31</v>
      </c>
      <c r="G6" s="2">
        <v>40</v>
      </c>
      <c r="H6" s="26">
        <v>4</v>
      </c>
      <c r="I6" s="12" t="s">
        <v>18</v>
      </c>
    </row>
    <row r="7" spans="1:9" ht="15.75" x14ac:dyDescent="0.25">
      <c r="B7" s="7" t="s">
        <v>11</v>
      </c>
      <c r="C7" s="8">
        <v>50</v>
      </c>
      <c r="D7" s="25">
        <f>VLOOKUP(C7,$F$3:$H$7,3)</f>
        <v>5</v>
      </c>
      <c r="E7" s="14" t="str">
        <f>VLOOKUP(D7,$H$3:$I$7,2)</f>
        <v>Jeles</v>
      </c>
      <c r="F7" s="3">
        <v>41</v>
      </c>
      <c r="G7" s="4">
        <v>50</v>
      </c>
      <c r="H7" s="27">
        <v>5</v>
      </c>
      <c r="I7" s="13" t="s">
        <v>19</v>
      </c>
    </row>
    <row r="8" spans="1:9" x14ac:dyDescent="0.25">
      <c r="B8" s="7" t="s">
        <v>12</v>
      </c>
      <c r="C8" s="8">
        <v>48</v>
      </c>
      <c r="D8" s="25">
        <f>VLOOKUP(C8,$F$3:$H$7,3)</f>
        <v>5</v>
      </c>
      <c r="E8" s="14" t="str">
        <f>VLOOKUP(D8,$H$3:$I$7,2)</f>
        <v>Jeles</v>
      </c>
    </row>
    <row r="9" spans="1:9" x14ac:dyDescent="0.25">
      <c r="B9" s="9" t="s">
        <v>20</v>
      </c>
      <c r="C9" s="10">
        <v>35</v>
      </c>
      <c r="D9" s="25">
        <f>VLOOKUP(C9,$F$3:$H$7,3)</f>
        <v>4</v>
      </c>
      <c r="E9" s="14" t="str">
        <f>VLOOKUP(D9,$H$3:$I$7,2)</f>
        <v>Jó</v>
      </c>
    </row>
  </sheetData>
  <sortState ref="B3:E9">
    <sortCondition ref="B2"/>
  </sortState>
  <mergeCells count="1">
    <mergeCell ref="F1:H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Márton Attila</dc:creator>
  <cp:lastModifiedBy>Tulkán Csanád Tibor</cp:lastModifiedBy>
  <dcterms:created xsi:type="dcterms:W3CDTF">2026-10-14T06:23:52Z</dcterms:created>
  <dcterms:modified xsi:type="dcterms:W3CDTF">2026-10-14T08:40:50Z</dcterms:modified>
</cp:coreProperties>
</file>