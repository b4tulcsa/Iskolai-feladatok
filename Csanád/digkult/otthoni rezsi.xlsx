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J:\2026_2027\digkult\"/>
    </mc:Choice>
  </mc:AlternateContent>
  <xr:revisionPtr revIDLastSave="0" documentId="13_ncr:1_{8BFB9067-3527-4E76-BC00-31010EDE0304}" xr6:coauthVersionLast="36" xr6:coauthVersionMax="47" xr10:uidLastSave="{00000000-0000-0000-0000-000000000000}"/>
  <bookViews>
    <workbookView xWindow="0" yWindow="0" windowWidth="28800" windowHeight="12225" xr2:uid="{CA4582BC-40D4-4C97-AC6F-6A15C518E0AA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8" i="1" l="1"/>
  <c r="G7" i="1"/>
  <c r="D15" i="1"/>
  <c r="D14" i="1"/>
  <c r="D13" i="1"/>
  <c r="D12" i="1"/>
  <c r="E6" i="1"/>
  <c r="E7" i="1"/>
  <c r="E8" i="1"/>
  <c r="E9" i="1"/>
  <c r="E10" i="1"/>
  <c r="E5" i="1"/>
  <c r="D6" i="1"/>
  <c r="D7" i="1"/>
  <c r="D8" i="1"/>
  <c r="D9" i="1"/>
  <c r="D10" i="1"/>
  <c r="D5" i="1"/>
</calcChain>
</file>

<file path=xl/sharedStrings.xml><?xml version="1.0" encoding="utf-8"?>
<sst xmlns="http://schemas.openxmlformats.org/spreadsheetml/2006/main" count="27" uniqueCount="27">
  <si>
    <t>4. feladat – Otthoni rezsi</t>
  </si>
  <si>
    <t>A világoskék cellákat töltsd ki képletekkel.</t>
  </si>
  <si>
    <t>Hónap</t>
  </si>
  <si>
    <t>Áram (Ft)</t>
  </si>
  <si>
    <t>Víz (Ft)</t>
  </si>
  <si>
    <t>Összesen (Ft)</t>
  </si>
  <si>
    <t>Keretvizsgálat</t>
  </si>
  <si>
    <t>Január</t>
  </si>
  <si>
    <t>Havi keret (Ft)</t>
  </si>
  <si>
    <t>Február</t>
  </si>
  <si>
    <t>Befizetett előleg (Ft)</t>
  </si>
  <si>
    <t>Március</t>
  </si>
  <si>
    <t>Még fizetendő (Ft)</t>
  </si>
  <si>
    <t>Április</t>
  </si>
  <si>
    <t>Átlag fele (Ft)</t>
  </si>
  <si>
    <t>Május</t>
  </si>
  <si>
    <t>Június</t>
  </si>
  <si>
    <t>Hat havi összesen</t>
  </si>
  <si>
    <t>Havi átlag</t>
  </si>
  <si>
    <t>Legkisebb havi összeg</t>
  </si>
  <si>
    <t>Legnagyobb havi összeg</t>
  </si>
  <si>
    <t>FELADATOK</t>
  </si>
  <si>
    <t>1. Add össze havonként az áram- és vízdíjat.</t>
  </si>
  <si>
    <t>2. A HA függvény a G5-ben megadott havi keret fölött „Keret felett”, egyébként „Keretben” eredményt adjon. A keretre abszolút hivatkozást használj.</t>
  </si>
  <si>
    <t>3. A D12:D15 cellákban használd a SZUM, ÁTLAG, MIN és MAX függvényt.</t>
  </si>
  <si>
    <t>4. Az összes költségből vond ki a befizetett előleget a G7-ben; az átlagot oszd el kettővel a G8-ban.</t>
  </si>
  <si>
    <t>5. A pénzösszegeket forintként formázd.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</si>
</sst>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Ft&quot;"/>
  </numFmts>
  <fonts count="5">
    <font>
      <sz val="11"/>
      <color theme="1"/>
      <name val="Aptos Narrow"/>
      <family val="2"/>
      <charset val="238"/>
      <scheme val="minor"/>
    </font>
    <font>
      <sz val="11"/>
      <name val="Carlito"/>
    </font>
    <font>
      <b/>
      <sz val="16"/>
      <color rgb="FFFFFFFF"/>
      <name val="Aptos"/>
    </font>
    <font>
      <sz val="11"/>
      <color rgb="FF1E293B"/>
      <name val="Aptos"/>
    </font>
    <font>
      <b/>
      <sz val="11"/>
      <color rgb="FFFFFFFF"/>
      <name val="Aptos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16777F"/>
      </patternFill>
    </fill>
    <fill>
      <patternFill patternType="solid">
        <fgColor rgb="FFE4F4FA"/>
      </patternFill>
    </fill>
    <fill>
      <patternFill patternType="solid">
        <fgColor rgb="FF193A63"/>
      </patternFill>
    </fill>
  </fills>
  <borders count="2">
    <border>
      <left/>
      <right/>
      <top/>
      <bottom/>
      <diagonal/>
    </border>
    <border>
      <left style="thin">
        <color rgb="FFCCD9E0"/>
      </left>
      <right style="thin">
        <color rgb="FFCCD9E0"/>
      </right>
      <top style="thin">
        <color rgb="FFCCD9E0"/>
      </top>
      <bottom style="thin">
        <color rgb="FFCCD9E0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0" xfId="1" applyFont="1" applyFill="1" applyAlignment="1">
      <alignment vertical="center"/>
    </xf>
    <xf numFmtId="0" fontId="0" fillId="0" borderId="0" xfId="0" applyAlignment="1">
      <alignment vertical="center"/>
    </xf>
    <xf numFmtId="0" fontId="3" fillId="0" borderId="0" xfId="1" applyFont="1" applyAlignment="1">
      <alignment vertical="center"/>
    </xf>
    <xf numFmtId="0" fontId="4" fillId="3" borderId="1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164" fontId="3" fillId="0" borderId="1" xfId="1" applyNumberFormat="1" applyFont="1" applyBorder="1" applyAlignment="1">
      <alignment vertical="center"/>
    </xf>
    <xf numFmtId="164" fontId="3" fillId="4" borderId="1" xfId="1" applyNumberFormat="1" applyFont="1" applyFill="1" applyBorder="1" applyAlignment="1">
      <alignment vertical="center"/>
    </xf>
    <xf numFmtId="0" fontId="3" fillId="4" borderId="1" xfId="1" applyFont="1" applyFill="1" applyBorder="1" applyAlignment="1">
      <alignment vertical="center"/>
    </xf>
    <xf numFmtId="164" fontId="3" fillId="0" borderId="0" xfId="1" applyNumberFormat="1" applyFont="1" applyAlignment="1">
      <alignment vertical="center"/>
    </xf>
    <xf numFmtId="164" fontId="3" fillId="4" borderId="0" xfId="1" applyNumberFormat="1" applyFont="1" applyFill="1" applyAlignment="1">
      <alignment vertical="center"/>
    </xf>
    <xf numFmtId="0" fontId="4" fillId="5" borderId="0" xfId="1" applyFont="1" applyFill="1" applyAlignment="1">
      <alignment vertical="center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left" vertical="center" wrapText="1"/>
    </xf>
  </cellXfs>
  <cellStyles count="2">
    <cellStyle name="Normal" xfId="1" xr:uid="{7ABEC038-6D04-47E6-AB39-F61C85029366}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0E2-4431-8021-A60B1B7E74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B7E-4DFF-90F9-75FDEF971A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0E2-4431-8021-A60B1B7E74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0E2-4431-8021-A60B1B7E74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0E2-4431-8021-A60B1B7E74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0E2-4431-8021-A60B1B7E743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Munka1!$A$5:$A$10</c:f>
              <c:strCache>
                <c:ptCount val="6"/>
                <c:pt idx="0">
                  <c:v>Január</c:v>
                </c:pt>
                <c:pt idx="1">
                  <c:v>Február</c:v>
                </c:pt>
                <c:pt idx="2">
                  <c:v>Március</c:v>
                </c:pt>
                <c:pt idx="3">
                  <c:v>Április</c:v>
                </c:pt>
                <c:pt idx="4">
                  <c:v>Május</c:v>
                </c:pt>
                <c:pt idx="5">
                  <c:v>Június</c:v>
                </c:pt>
              </c:strCache>
            </c:strRef>
          </c:cat>
          <c:val>
            <c:numRef>
              <c:f>Munka1!$D$5:$D$10</c:f>
              <c:numCache>
                <c:formatCode>#\ ##0\ "Ft"</c:formatCode>
                <c:ptCount val="6"/>
                <c:pt idx="0">
                  <c:v>22100</c:v>
                </c:pt>
                <c:pt idx="1">
                  <c:v>20100</c:v>
                </c:pt>
                <c:pt idx="2">
                  <c:v>19700</c:v>
                </c:pt>
                <c:pt idx="3">
                  <c:v>18600</c:v>
                </c:pt>
                <c:pt idx="4">
                  <c:v>21700</c:v>
                </c:pt>
                <c:pt idx="5">
                  <c:v>17800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7E-4DFF-90F9-75FDEF971AA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180974</xdr:colOff>
      <xdr:row>1</xdr:row>
      <xdr:rowOff>100292</xdr:rowOff>
    </xdr:from>
    <xdr:to>
      <xdr:col>17</xdr:col>
      <xdr:colOff>405092</xdr:colOff>
      <xdr:row>18</xdr:row>
      <xdr:rowOff>202827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31E3644B-2EF3-496D-BD1F-B3842F20D3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2F10D-2023-4BB1-8633-93D83A9ACDD0}">
  <dimension ref="A1:G25"/>
  <sheetViews>
    <sheetView tabSelected="1" zoomScale="85" zoomScaleNormal="85" workbookViewId="0">
      <selection activeCell="G8" sqref="G8"/>
    </sheetView>
  </sheetViews>
  <sheetFormatPr defaultColWidth="8.875" defaultRowHeight="14.25"/>
  <cols>
    <col min="1" max="2" width="22" style="2" customWidth="1"/>
    <col min="3" max="3" width="23" style="2" customWidth="1"/>
    <col min="4" max="5" width="24" style="2" customWidth="1"/>
    <col min="6" max="6" width="26" style="2" customWidth="1"/>
    <col min="7" max="7" width="22" style="2" customWidth="1"/>
    <col min="8" max="16384" width="8.875" style="2"/>
  </cols>
  <sheetData>
    <row r="1" spans="1:7" ht="20.25">
      <c r="A1" s="1" t="s">
        <v>0</v>
      </c>
      <c r="B1" s="1"/>
      <c r="C1" s="1"/>
      <c r="D1" s="1"/>
      <c r="E1" s="1"/>
      <c r="F1" s="1"/>
      <c r="G1" s="1"/>
    </row>
    <row r="2" spans="1:7">
      <c r="A2" s="3" t="s">
        <v>1</v>
      </c>
      <c r="B2" s="3"/>
      <c r="C2" s="3"/>
      <c r="D2" s="3"/>
      <c r="E2" s="3"/>
      <c r="F2" s="3"/>
      <c r="G2" s="3"/>
    </row>
    <row r="3" spans="1:7">
      <c r="A3" s="3"/>
      <c r="B3" s="3"/>
      <c r="C3" s="3"/>
      <c r="D3" s="3"/>
      <c r="E3" s="3"/>
      <c r="F3" s="3"/>
      <c r="G3" s="3"/>
    </row>
    <row r="4" spans="1:7" ht="1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3"/>
      <c r="G4" s="3"/>
    </row>
    <row r="5" spans="1:7" ht="25.15" customHeight="1">
      <c r="A5" s="5" t="s">
        <v>7</v>
      </c>
      <c r="B5" s="6">
        <v>15800</v>
      </c>
      <c r="C5" s="6">
        <v>6300</v>
      </c>
      <c r="D5" s="7">
        <f>SUM(B5:C5)</f>
        <v>22100</v>
      </c>
      <c r="E5" s="8" t="str">
        <f>IF(D5&gt;$G$5,"Keret Felett","Keretben")</f>
        <v>Keret Felett</v>
      </c>
      <c r="F5" s="3" t="s">
        <v>8</v>
      </c>
      <c r="G5" s="9">
        <v>21000</v>
      </c>
    </row>
    <row r="6" spans="1:7" ht="25.15" customHeight="1">
      <c r="A6" s="5" t="s">
        <v>9</v>
      </c>
      <c r="B6" s="6">
        <v>14200</v>
      </c>
      <c r="C6" s="6">
        <v>5900</v>
      </c>
      <c r="D6" s="7">
        <f t="shared" ref="D6:D10" si="0">SUM(B6:C6)</f>
        <v>20100</v>
      </c>
      <c r="E6" s="8" t="str">
        <f t="shared" ref="E6:E10" si="1">IF(D6&gt;$G$5,"Keret Felett","Keretben")</f>
        <v>Keretben</v>
      </c>
      <c r="F6" s="3" t="s">
        <v>10</v>
      </c>
      <c r="G6" s="9">
        <v>110000</v>
      </c>
    </row>
    <row r="7" spans="1:7" ht="25.15" customHeight="1">
      <c r="A7" s="5" t="s">
        <v>11</v>
      </c>
      <c r="B7" s="6">
        <v>13600</v>
      </c>
      <c r="C7" s="6">
        <v>6100</v>
      </c>
      <c r="D7" s="7">
        <f t="shared" si="0"/>
        <v>19700</v>
      </c>
      <c r="E7" s="8" t="str">
        <f t="shared" si="1"/>
        <v>Keretben</v>
      </c>
      <c r="F7" s="3" t="s">
        <v>12</v>
      </c>
      <c r="G7" s="10">
        <f>D12-G6</f>
        <v>10000</v>
      </c>
    </row>
    <row r="8" spans="1:7" ht="25.15" customHeight="1">
      <c r="A8" s="5" t="s">
        <v>13</v>
      </c>
      <c r="B8" s="6">
        <v>12900</v>
      </c>
      <c r="C8" s="6">
        <v>5700</v>
      </c>
      <c r="D8" s="7">
        <f t="shared" si="0"/>
        <v>18600</v>
      </c>
      <c r="E8" s="8" t="str">
        <f t="shared" si="1"/>
        <v>Keretben</v>
      </c>
      <c r="F8" s="3" t="s">
        <v>14</v>
      </c>
      <c r="G8" s="10">
        <f>D13/2</f>
        <v>10000</v>
      </c>
    </row>
    <row r="9" spans="1:7" ht="25.15" customHeight="1">
      <c r="A9" s="5" t="s">
        <v>15</v>
      </c>
      <c r="B9" s="6">
        <v>15100</v>
      </c>
      <c r="C9" s="6">
        <v>6600</v>
      </c>
      <c r="D9" s="7">
        <f t="shared" si="0"/>
        <v>21700</v>
      </c>
      <c r="E9" s="8" t="str">
        <f t="shared" si="1"/>
        <v>Keret Felett</v>
      </c>
      <c r="F9" s="3"/>
      <c r="G9" s="3"/>
    </row>
    <row r="10" spans="1:7" ht="25.15" customHeight="1">
      <c r="A10" s="5" t="s">
        <v>16</v>
      </c>
      <c r="B10" s="6">
        <v>12400</v>
      </c>
      <c r="C10" s="6">
        <v>5400</v>
      </c>
      <c r="D10" s="7">
        <f t="shared" si="0"/>
        <v>17800</v>
      </c>
      <c r="E10" s="8" t="str">
        <f t="shared" si="1"/>
        <v>Keretben</v>
      </c>
      <c r="F10" s="3"/>
      <c r="G10" s="3"/>
    </row>
    <row r="11" spans="1:7" ht="25.15" customHeight="1">
      <c r="A11" s="5"/>
      <c r="B11" s="6"/>
      <c r="C11" s="6"/>
      <c r="D11" s="6"/>
      <c r="E11" s="5"/>
      <c r="F11" s="3"/>
      <c r="G11" s="3"/>
    </row>
    <row r="12" spans="1:7" ht="25.15" customHeight="1">
      <c r="A12" s="5"/>
      <c r="B12" s="6"/>
      <c r="C12" s="6" t="s">
        <v>17</v>
      </c>
      <c r="D12" s="7">
        <f>SUM(D5:D10)</f>
        <v>120000</v>
      </c>
      <c r="E12" s="5"/>
      <c r="F12" s="3"/>
      <c r="G12" s="3"/>
    </row>
    <row r="13" spans="1:7" ht="25.15" customHeight="1">
      <c r="A13" s="5"/>
      <c r="B13" s="6"/>
      <c r="C13" s="6" t="s">
        <v>18</v>
      </c>
      <c r="D13" s="7">
        <f>AVERAGE(D5:D10)</f>
        <v>20000</v>
      </c>
      <c r="E13" s="5"/>
      <c r="F13" s="3"/>
      <c r="G13" s="3"/>
    </row>
    <row r="14" spans="1:7" ht="25.15" customHeight="1">
      <c r="A14" s="5"/>
      <c r="B14" s="6"/>
      <c r="C14" s="6" t="s">
        <v>19</v>
      </c>
      <c r="D14" s="7">
        <f>MIN(D5:D10)</f>
        <v>17800</v>
      </c>
      <c r="E14" s="5"/>
      <c r="F14" s="3"/>
      <c r="G14" s="3"/>
    </row>
    <row r="15" spans="1:7" ht="25.15" customHeight="1">
      <c r="A15" s="5"/>
      <c r="B15" s="6"/>
      <c r="C15" s="6" t="s">
        <v>20</v>
      </c>
      <c r="D15" s="7">
        <f>MAX(D5:D10)</f>
        <v>22100</v>
      </c>
      <c r="E15" s="5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 ht="15">
      <c r="A17" s="11" t="s">
        <v>21</v>
      </c>
      <c r="B17" s="11"/>
      <c r="C17" s="11"/>
      <c r="D17" s="11"/>
      <c r="E17" s="11"/>
      <c r="F17" s="11"/>
      <c r="G17" s="11"/>
    </row>
    <row r="18" spans="1:7" ht="28.9" customHeight="1">
      <c r="A18" s="13" t="s">
        <v>22</v>
      </c>
      <c r="B18" s="13"/>
      <c r="C18" s="13"/>
      <c r="D18" s="13"/>
      <c r="E18" s="13"/>
      <c r="F18" s="13"/>
      <c r="G18" s="13"/>
    </row>
    <row r="19" spans="1:7" ht="28.9" customHeight="1">
      <c r="A19" s="13" t="s">
        <v>23</v>
      </c>
      <c r="B19" s="13"/>
      <c r="C19" s="13"/>
      <c r="D19" s="13"/>
      <c r="E19" s="13"/>
      <c r="F19" s="13"/>
      <c r="G19" s="13"/>
    </row>
    <row r="20" spans="1:7" ht="28.9" customHeight="1">
      <c r="A20" s="13" t="s">
        <v>24</v>
      </c>
      <c r="B20" s="13"/>
      <c r="C20" s="13"/>
      <c r="D20" s="13"/>
      <c r="E20" s="13"/>
      <c r="F20" s="13"/>
      <c r="G20" s="13"/>
    </row>
    <row r="21" spans="1:7" ht="28.9" customHeight="1">
      <c r="A21" s="13" t="s">
        <v>25</v>
      </c>
      <c r="B21" s="13"/>
      <c r="C21" s="13"/>
      <c r="D21" s="13"/>
      <c r="E21" s="13"/>
      <c r="F21" s="13"/>
      <c r="G21" s="13"/>
    </row>
    <row r="22" spans="1:7" ht="28.9" customHeight="1">
      <c r="A22" s="13" t="s">
        <v>26</v>
      </c>
      <c r="B22" s="13"/>
      <c r="C22" s="13"/>
      <c r="D22" s="13"/>
      <c r="E22" s="13"/>
      <c r="F22" s="13"/>
      <c r="G22" s="13"/>
    </row>
    <row r="23" spans="1:7" ht="28.9" customHeight="1">
      <c r="A23" s="12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</sheetData>
  <mergeCells count="5">
    <mergeCell ref="A18:G18"/>
    <mergeCell ref="A19:G19"/>
    <mergeCell ref="A20:G20"/>
    <mergeCell ref="A21:G21"/>
    <mergeCell ref="A22:G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Tulkán Csanád Tibor</cp:lastModifiedBy>
  <dcterms:created xsi:type="dcterms:W3CDTF">2026-09-29T19:05:26Z</dcterms:created>
  <dcterms:modified xsi:type="dcterms:W3CDTF">2026-09-30T08:21:19Z</dcterms:modified>
</cp:coreProperties>
</file>