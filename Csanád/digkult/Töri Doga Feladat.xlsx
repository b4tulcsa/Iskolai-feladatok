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1E11B276-B2A6-4519-986E-A3359EA87C3B}" xr6:coauthVersionLast="36" xr6:coauthVersionMax="36" xr10:uidLastSave="{00000000-0000-0000-0000-000000000000}"/>
  <bookViews>
    <workbookView xWindow="0" yWindow="0" windowWidth="28800" windowHeight="12225" xr2:uid="{B76EC41F-A30A-49EB-AA75-D9CD7102B31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C28" i="1"/>
  <c r="C27" i="1"/>
  <c r="C26" i="1"/>
  <c r="C25" i="1"/>
  <c r="C19" i="1"/>
  <c r="C20" i="1"/>
  <c r="C21" i="1"/>
  <c r="C18" i="1"/>
  <c r="C17" i="1"/>
  <c r="D5" i="1"/>
  <c r="D6" i="1"/>
  <c r="D7" i="1"/>
  <c r="D8" i="1"/>
  <c r="D9" i="1"/>
  <c r="D10" i="1"/>
  <c r="D11" i="1"/>
  <c r="D12" i="1"/>
  <c r="D13" i="1"/>
  <c r="D4" i="1"/>
</calcChain>
</file>

<file path=xl/sharedStrings.xml><?xml version="1.0" encoding="utf-8"?>
<sst xmlns="http://schemas.openxmlformats.org/spreadsheetml/2006/main" count="31" uniqueCount="27">
  <si>
    <t>Történelem dolgozat</t>
  </si>
  <si>
    <t>Elemér</t>
  </si>
  <si>
    <t>Izabella</t>
  </si>
  <si>
    <t>Nárcisz</t>
  </si>
  <si>
    <t>Béla</t>
  </si>
  <si>
    <t>Géza</t>
  </si>
  <si>
    <t>Név</t>
  </si>
  <si>
    <t>nem írt</t>
  </si>
  <si>
    <t>Jegy</t>
  </si>
  <si>
    <t>1-esek</t>
  </si>
  <si>
    <t>2-esek</t>
  </si>
  <si>
    <t>3-asok</t>
  </si>
  <si>
    <t>4-esek</t>
  </si>
  <si>
    <t>5-ösök</t>
  </si>
  <si>
    <t>Éva</t>
  </si>
  <si>
    <t>Lajos</t>
  </si>
  <si>
    <t>Gizella</t>
  </si>
  <si>
    <t>József</t>
  </si>
  <si>
    <t>Mátyás</t>
  </si>
  <si>
    <t>Átlag:</t>
  </si>
  <si>
    <t>Medián:</t>
  </si>
  <si>
    <t>Hányan írtak?</t>
  </si>
  <si>
    <t>Létszám:</t>
  </si>
  <si>
    <t>Nem írt</t>
  </si>
  <si>
    <t>Jeles-e?</t>
  </si>
  <si>
    <t>Oszlop1</t>
  </si>
  <si>
    <t>Oszlop2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</si>
</sst>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Történelem dolgozat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Munka1!$C$3</c:f>
              <c:strCache>
                <c:ptCount val="1"/>
                <c:pt idx="0">
                  <c:v>Jegy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Munka1!$B$4:$B$13</c:f>
              <c:strCache>
                <c:ptCount val="10"/>
                <c:pt idx="0">
                  <c:v>Nárcisz</c:v>
                </c:pt>
                <c:pt idx="1">
                  <c:v>Béla</c:v>
                </c:pt>
                <c:pt idx="2">
                  <c:v>Elemér</c:v>
                </c:pt>
                <c:pt idx="3">
                  <c:v>Éva</c:v>
                </c:pt>
                <c:pt idx="4">
                  <c:v>József</c:v>
                </c:pt>
                <c:pt idx="5">
                  <c:v>Lajos</c:v>
                </c:pt>
                <c:pt idx="6">
                  <c:v>Mátyás</c:v>
                </c:pt>
                <c:pt idx="7">
                  <c:v>Izabella</c:v>
                </c:pt>
                <c:pt idx="8">
                  <c:v>Gizella</c:v>
                </c:pt>
                <c:pt idx="9">
                  <c:v>Géza</c:v>
                </c:pt>
              </c:strCache>
            </c:strRef>
          </c:cat>
          <c:val>
            <c:numRef>
              <c:f>Munka1!$C$4:$C$13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A-4452-ADF6-E4E460CB7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5160543"/>
        <c:axId val="1380217407"/>
      </c:barChart>
      <c:catAx>
        <c:axId val="127516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Nevek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80217407"/>
        <c:crosses val="autoZero"/>
        <c:auto val="1"/>
        <c:lblAlgn val="ctr"/>
        <c:lblOffset val="100"/>
        <c:noMultiLvlLbl val="0"/>
      </c:catAx>
      <c:valAx>
        <c:axId val="13802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Jegyek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7516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78828</xdr:colOff>
      <xdr:row>5</xdr:row>
      <xdr:rowOff>155684</xdr:rowOff>
    </xdr:from>
    <xdr:to>
      <xdr:col>12</xdr:col>
      <xdr:colOff>374431</xdr:colOff>
      <xdr:row>20</xdr:row>
      <xdr:rowOff>41384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452A602-8E8B-49F2-8610-6096747B2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5EF2E4-A946-4BAA-8727-7358EA1596DC}" name="Táblázat4" displayName="Táblázat4" ref="B2:D13" totalsRowShown="0">
  <autoFilter ref="B2:D13" xr:uid="{3751E72E-BCF8-4C9A-98EA-9F7D7D625324}"/>
  <tableColumns count="3">
    <tableColumn id="1" xr3:uid="{77F4D436-4042-483F-A7BF-AFF862772013}" name="Történelem dolgozat"/>
    <tableColumn id="2" xr3:uid="{AD03B03D-3B96-4318-8E96-DF04A8F15FC0}" name="Oszlop1"/>
    <tableColumn id="3" xr3:uid="{FA067686-FDD1-4FFC-8E14-7CC2FD30752E}" name="Oszlop2">
      <calculatedColumnFormula>IF(C3=5,"Jeles","Nem jeles")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BFE954-8BE8-40E3-B721-09AB916C1900}" name="Táblázat5" displayName="Táblázat5" ref="B16:C21" totalsRowShown="0">
  <autoFilter ref="B16:C21" xr:uid="{4F2635D4-7728-411E-AB6F-05A6FE4DE1AE}"/>
  <tableColumns count="2">
    <tableColumn id="1" xr3:uid="{7D10E42B-DCF8-4084-BA18-D9939645475B}" name="Oszlop1"/>
    <tableColumn id="2" xr3:uid="{D8541B83-076A-4EE0-9AC2-FD8991C82EB2}" name="Oszlop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CED95A-F63A-499F-ADF1-6927AB72992E}" name="Táblázat7" displayName="Táblázat7" ref="B23:C28" totalsRowShown="0">
  <autoFilter ref="B23:C28" xr:uid="{6591C073-4A9A-4308-BA1E-774FBE3A15E8}"/>
  <tableColumns count="2">
    <tableColumn id="1" xr3:uid="{2D5E7256-D2BD-40D0-8417-95486F3E57B8}" name="Oszlop1"/>
    <tableColumn id="2" xr3:uid="{521DDA9D-0E49-430C-B223-CE125373E3B1}" name="Oszlop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99F7-9B76-4A62-8B3E-C7FE16E437E4}">
  <dimension ref="B2:D28"/>
  <sheetViews>
    <sheetView tabSelected="1" topLeftCell="A4" zoomScale="145" zoomScaleNormal="145" workbookViewId="0">
      <selection activeCell="J25" sqref="J25"/>
    </sheetView>
  </sheetViews>
  <sheetFormatPr defaultRowHeight="15" x14ac:dyDescent="0.25"/>
  <cols>
    <col min="2" max="2" width="19.7109375" bestFit="1" customWidth="1"/>
  </cols>
  <sheetData>
    <row r="2" spans="2:4" x14ac:dyDescent="0.25">
      <c r="B2" t="s">
        <v>0</v>
      </c>
      <c r="C2" t="s">
        <v>25</v>
      </c>
      <c r="D2" t="s">
        <v>26</v>
      </c>
    </row>
    <row r="3" spans="2:4" x14ac:dyDescent="0.25">
      <c r="B3" t="s">
        <v>6</v>
      </c>
      <c r="C3" t="s">
        <v>8</v>
      </c>
      <c r="D3" t="s">
        <v>24</v>
      </c>
    </row>
    <row r="4" spans="2:4" x14ac:dyDescent="0.25">
      <c r="B4" t="s">
        <v>3</v>
      </c>
      <c r="C4" t="s">
        <v>7</v>
      </c>
      <c r="D4" t="str">
        <f>IF(C4=5,"Jeles","Nem jeles")</f>
        <v>Nem jeles</v>
      </c>
    </row>
    <row r="5" spans="2:4" x14ac:dyDescent="0.25">
      <c r="B5" t="s">
        <v>4</v>
      </c>
      <c r="C5">
        <v>5</v>
      </c>
      <c r="D5" t="str">
        <f t="shared" ref="D5:D13" si="0">IF(C5=5,"Jeles","Nem jeles")</f>
        <v>Jeles</v>
      </c>
    </row>
    <row r="6" spans="2:4" x14ac:dyDescent="0.25">
      <c r="B6" t="s">
        <v>1</v>
      </c>
      <c r="C6">
        <v>5</v>
      </c>
      <c r="D6" t="str">
        <f t="shared" si="0"/>
        <v>Jeles</v>
      </c>
    </row>
    <row r="7" spans="2:4" x14ac:dyDescent="0.25">
      <c r="B7" t="s">
        <v>14</v>
      </c>
      <c r="C7">
        <v>5</v>
      </c>
      <c r="D7" t="str">
        <f t="shared" si="0"/>
        <v>Jeles</v>
      </c>
    </row>
    <row r="8" spans="2:4" x14ac:dyDescent="0.25">
      <c r="B8" t="s">
        <v>17</v>
      </c>
      <c r="C8">
        <v>5</v>
      </c>
      <c r="D8" t="str">
        <f t="shared" si="0"/>
        <v>Jeles</v>
      </c>
    </row>
    <row r="9" spans="2:4" x14ac:dyDescent="0.25">
      <c r="B9" t="s">
        <v>15</v>
      </c>
      <c r="C9">
        <v>5</v>
      </c>
      <c r="D9" t="str">
        <f t="shared" si="0"/>
        <v>Jeles</v>
      </c>
    </row>
    <row r="10" spans="2:4" x14ac:dyDescent="0.25">
      <c r="B10" t="s">
        <v>18</v>
      </c>
      <c r="C10">
        <v>4</v>
      </c>
      <c r="D10" t="str">
        <f t="shared" si="0"/>
        <v>Nem jeles</v>
      </c>
    </row>
    <row r="11" spans="2:4" x14ac:dyDescent="0.25">
      <c r="B11" t="s">
        <v>2</v>
      </c>
      <c r="C11">
        <v>3</v>
      </c>
      <c r="D11" t="str">
        <f t="shared" si="0"/>
        <v>Nem jeles</v>
      </c>
    </row>
    <row r="12" spans="2:4" x14ac:dyDescent="0.25">
      <c r="B12" t="s">
        <v>16</v>
      </c>
      <c r="C12">
        <v>1</v>
      </c>
      <c r="D12" t="str">
        <f t="shared" si="0"/>
        <v>Nem jeles</v>
      </c>
    </row>
    <row r="13" spans="2:4" x14ac:dyDescent="0.25">
      <c r="B13" t="s">
        <v>5</v>
      </c>
      <c r="C13">
        <v>2</v>
      </c>
      <c r="D13" t="str">
        <f t="shared" si="0"/>
        <v>Nem jeles</v>
      </c>
    </row>
    <row r="16" spans="2:4" x14ac:dyDescent="0.25">
      <c r="B16" t="s">
        <v>25</v>
      </c>
      <c r="C16" t="s">
        <v>26</v>
      </c>
    </row>
    <row r="17" spans="2:3" x14ac:dyDescent="0.25">
      <c r="B17" t="s">
        <v>9</v>
      </c>
      <c r="C17">
        <f>COUNTIF($C$5:$C$13,1)</f>
        <v>1</v>
      </c>
    </row>
    <row r="18" spans="2:3" x14ac:dyDescent="0.25">
      <c r="B18" t="s">
        <v>10</v>
      </c>
      <c r="C18">
        <f>COUNTIF($C$5:$C$13,2)</f>
        <v>1</v>
      </c>
    </row>
    <row r="19" spans="2:3" x14ac:dyDescent="0.25">
      <c r="B19" t="s">
        <v>11</v>
      </c>
      <c r="C19">
        <f>COUNTIF($C$5:$C$13,3)</f>
        <v>1</v>
      </c>
    </row>
    <row r="20" spans="2:3" x14ac:dyDescent="0.25">
      <c r="B20" t="s">
        <v>12</v>
      </c>
      <c r="C20">
        <f>COUNTIF($C$5:$C$13,4)</f>
        <v>1</v>
      </c>
    </row>
    <row r="21" spans="2:3" x14ac:dyDescent="0.25">
      <c r="B21" t="s">
        <v>13</v>
      </c>
      <c r="C21">
        <f>COUNTIF($C$5:$C$13,5)</f>
        <v>5</v>
      </c>
    </row>
    <row r="23" spans="2:3" x14ac:dyDescent="0.25">
      <c r="B23" t="s">
        <v>25</v>
      </c>
      <c r="C23" t="s">
        <v>26</v>
      </c>
    </row>
    <row r="24" spans="2:3" x14ac:dyDescent="0.25">
      <c r="B24" t="s">
        <v>19</v>
      </c>
      <c r="C24">
        <f>AVERAGE(C5:C13)</f>
        <v>3.8888888888888888</v>
      </c>
    </row>
    <row r="25" spans="2:3" x14ac:dyDescent="0.25">
      <c r="B25" t="s">
        <v>20</v>
      </c>
      <c r="C25">
        <f>MEDIAN(C5:C13)</f>
        <v>5</v>
      </c>
    </row>
    <row r="26" spans="2:3" x14ac:dyDescent="0.25">
      <c r="B26" t="s">
        <v>22</v>
      </c>
      <c r="C26">
        <f>COUNTA(B4:B13)</f>
        <v>10</v>
      </c>
    </row>
    <row r="27" spans="2:3" x14ac:dyDescent="0.25">
      <c r="B27" t="s">
        <v>21</v>
      </c>
      <c r="C27">
        <f>COUNTIF(C4:C13,"&gt;0")</f>
        <v>9</v>
      </c>
    </row>
    <row r="28" spans="2:3" x14ac:dyDescent="0.25">
      <c r="B28" t="s">
        <v>23</v>
      </c>
      <c r="C28">
        <f>COUNTIF(C4:C13,"nem írt")</f>
        <v>1</v>
      </c>
    </row>
  </sheetData>
  <sortState ref="B4:C12">
    <sortCondition descending="1" ref="C4:C12"/>
  </sortState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Márton Attila</dc:creator>
  <cp:lastModifiedBy>Tulkán Csanád Tibor</cp:lastModifiedBy>
  <dcterms:created xsi:type="dcterms:W3CDTF">2025-05-29T11:41:18Z</dcterms:created>
  <dcterms:modified xsi:type="dcterms:W3CDTF">2026-10-07T08:41:49Z</dcterms:modified>
</cp:coreProperties>
</file>