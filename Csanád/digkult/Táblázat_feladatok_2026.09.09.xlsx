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CB967F8A-8342-45B9-9311-ACAB9ED289EB}" xr6:coauthVersionLast="36" xr6:coauthVersionMax="36" xr10:uidLastSave="{00000000-0000-0000-0000-000000000000}"/>
  <bookViews>
    <workbookView xWindow="0" yWindow="0" windowWidth="21570" windowHeight="7980" tabRatio="657" activeTab="4" xr2:uid="{00000000-000D-0000-FFFF-FFFF00000000}"/>
  </bookViews>
  <sheets>
    <sheet name="1. feladat" sheetId="9" r:id="rId1"/>
    <sheet name="2. feladat" sheetId="3" r:id="rId2"/>
    <sheet name="3. feladat" sheetId="1" r:id="rId3"/>
    <sheet name="4. feladat" sheetId="4" r:id="rId4"/>
    <sheet name="5. feladat" sheetId="7" r:id="rId5"/>
  </sheets>
  <definedNames>
    <definedName name="A1000000000">#REF!</definedName>
    <definedName name="A1456000">#REF!</definedName>
  </definedNames>
  <calcPr calcId="191029"/>
</workbook>
</file>

<file path=xl/calcChain.xml><?xml version="1.0" encoding="utf-8"?>
<calcChain xmlns="http://schemas.openxmlformats.org/spreadsheetml/2006/main">
  <c r="C5" i="7" l="1"/>
  <c r="C6" i="7"/>
  <c r="C7" i="7"/>
  <c r="C8" i="7"/>
  <c r="C9" i="7"/>
  <c r="C4" i="7"/>
  <c r="G13" i="4"/>
  <c r="G14" i="4"/>
  <c r="G15" i="4"/>
  <c r="G16" i="4"/>
  <c r="G17" i="4"/>
  <c r="G12" i="4"/>
  <c r="D17" i="4"/>
  <c r="E17" i="4"/>
  <c r="F17" i="4"/>
  <c r="C17" i="4"/>
  <c r="F17" i="1"/>
  <c r="F16" i="1"/>
  <c r="F14" i="1"/>
  <c r="F15" i="1"/>
  <c r="F13" i="1"/>
  <c r="F10" i="1"/>
  <c r="F9" i="1"/>
  <c r="F8" i="1"/>
  <c r="F7" i="1"/>
  <c r="H10" i="3"/>
  <c r="H11" i="3"/>
  <c r="H12" i="3"/>
  <c r="H13" i="3"/>
  <c r="F5" i="9"/>
  <c r="F6" i="9"/>
  <c r="F7" i="9"/>
  <c r="F8" i="9"/>
  <c r="F9" i="9"/>
  <c r="F4" i="9"/>
  <c r="E5" i="9"/>
  <c r="E6" i="9"/>
  <c r="E7" i="9"/>
  <c r="E8" i="9"/>
  <c r="E9" i="9"/>
  <c r="E4" i="9"/>
</calcChain>
</file>

<file path=xl/sharedStrings.xml><?xml version="1.0" encoding="utf-8"?>
<sst xmlns="http://schemas.openxmlformats.org/spreadsheetml/2006/main" count="47" uniqueCount="43">
  <si>
    <t>Minimum</t>
  </si>
  <si>
    <t>Maximum</t>
  </si>
  <si>
    <t>Átlag</t>
  </si>
  <si>
    <t>Darab</t>
  </si>
  <si>
    <t>ötösök</t>
  </si>
  <si>
    <t>négyesek</t>
  </si>
  <si>
    <t>hármasok</t>
  </si>
  <si>
    <t>kettesek</t>
  </si>
  <si>
    <t>egyesek</t>
  </si>
  <si>
    <t>I. negyedév</t>
  </si>
  <si>
    <t>II. negyedév</t>
  </si>
  <si>
    <t>III. negyedév</t>
  </si>
  <si>
    <t>IV. negyedév</t>
  </si>
  <si>
    <t>Éves termelés</t>
  </si>
  <si>
    <t>Negyedéves átlag</t>
  </si>
  <si>
    <t>ÁTLAG</t>
  </si>
  <si>
    <t>Árfolyam</t>
  </si>
  <si>
    <t>Euro</t>
  </si>
  <si>
    <t>Forint</t>
  </si>
  <si>
    <t>Akció!</t>
  </si>
  <si>
    <t>Árucikk</t>
  </si>
  <si>
    <t>Eredeti ár</t>
  </si>
  <si>
    <t>Kedvezmény %</t>
  </si>
  <si>
    <t>Kedv. összege</t>
  </si>
  <si>
    <t>Új ár</t>
  </si>
  <si>
    <t>Télikabát</t>
  </si>
  <si>
    <t>Cipő</t>
  </si>
  <si>
    <t>Ing</t>
  </si>
  <si>
    <t>Trikó</t>
  </si>
  <si>
    <t>Sapka</t>
  </si>
  <si>
    <t>Zokni</t>
  </si>
  <si>
    <t>Péter</t>
  </si>
  <si>
    <t>László</t>
  </si>
  <si>
    <t>István</t>
  </si>
  <si>
    <t>János</t>
  </si>
  <si>
    <t>Futóverseny [1 km-es]</t>
  </si>
  <si>
    <t>Darabszám</t>
  </si>
  <si>
    <t>Szuper Kft.</t>
  </si>
  <si>
    <t>Nagymenő Rt.</t>
  </si>
  <si>
    <t>Novum Kft.</t>
  </si>
  <si>
    <t>ABC RT.</t>
  </si>
  <si>
    <t>Mindentudó Kft.</t>
  </si>
  <si>
    <t>Tulkán Csanád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</si>
</sst>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Ft&quot;_-;\-* #,##0.00\ &quot;Ft&quot;_-;_-* &quot;-&quot;??\ &quot;Ft&quot;_-;_-@_-"/>
    <numFmt numFmtId="165" formatCode="_-* #,##0.00\ [$€-1]_-;\-* #,##0.00\ [$€-1]_-;_-* &quot;-&quot;??\ [$€-1]_-;_-@_-"/>
    <numFmt numFmtId="166" formatCode="_-* #,##0\ [$€-1]_-;\-* #,##0\ [$€-1]_-;_-* &quot;-&quot;??\ [$€-1]_-;_-@_-"/>
    <numFmt numFmtId="167" formatCode="_-* #,##0\ &quot;Ft&quot;_-;\-* #,##0\ &quot;Ft&quot;_-;_-* &quot;-&quot;??\ &quot;Ft&quot;_-;_-@_-"/>
    <numFmt numFmtId="179" formatCode="#,##0\ &quot;Ft&quot;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i/>
      <sz val="10"/>
      <name val="Arial CE"/>
      <charset val="238"/>
    </font>
    <font>
      <b/>
      <i/>
      <sz val="10"/>
      <name val="Arial CE"/>
      <charset val="238"/>
    </font>
    <font>
      <b/>
      <sz val="10"/>
      <name val="Arial CE"/>
      <charset val="238"/>
    </font>
    <font>
      <b/>
      <sz val="11"/>
      <color theme="1"/>
      <name val="Calibri"/>
      <family val="2"/>
      <charset val="238"/>
      <scheme val="minor"/>
    </font>
    <font>
      <sz val="16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1" xfId="0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2" fillId="0" borderId="0" xfId="2" applyFont="1"/>
    <xf numFmtId="0" fontId="2" fillId="0" borderId="0" xfId="2"/>
    <xf numFmtId="0" fontId="2" fillId="0" borderId="8" xfId="2" applyBorder="1" applyAlignment="1">
      <alignment horizontal="centerContinuous"/>
    </xf>
    <xf numFmtId="0" fontId="2" fillId="0" borderId="8" xfId="2" applyBorder="1"/>
    <xf numFmtId="0" fontId="2" fillId="2" borderId="8" xfId="2" applyFill="1" applyBorder="1"/>
    <xf numFmtId="0" fontId="2" fillId="0" borderId="8" xfId="2" applyBorder="1" applyAlignment="1">
      <alignment horizontal="center"/>
    </xf>
    <xf numFmtId="0" fontId="2" fillId="5" borderId="8" xfId="2" applyFill="1" applyBorder="1"/>
    <xf numFmtId="0" fontId="0" fillId="0" borderId="7" xfId="0" applyFill="1" applyBorder="1" applyAlignment="1"/>
    <xf numFmtId="0" fontId="3" fillId="0" borderId="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left"/>
    </xf>
    <xf numFmtId="0" fontId="5" fillId="0" borderId="7" xfId="0" applyFont="1" applyFill="1" applyBorder="1" applyAlignment="1">
      <alignment horizontal="left"/>
    </xf>
    <xf numFmtId="0" fontId="0" fillId="0" borderId="0" xfId="0" applyAlignment="1">
      <alignment horizontal="center"/>
    </xf>
    <xf numFmtId="165" fontId="6" fillId="0" borderId="0" xfId="0" applyNumberFormat="1" applyFont="1"/>
    <xf numFmtId="44" fontId="6" fillId="0" borderId="0" xfId="3" applyFont="1"/>
    <xf numFmtId="166" fontId="0" fillId="0" borderId="0" xfId="0" applyNumberFormat="1"/>
    <xf numFmtId="0" fontId="7" fillId="0" borderId="7" xfId="0" applyFont="1" applyBorder="1"/>
    <xf numFmtId="167" fontId="7" fillId="0" borderId="7" xfId="3" applyNumberFormat="1" applyFont="1" applyBorder="1"/>
    <xf numFmtId="9" fontId="7" fillId="0" borderId="7" xfId="1" applyFont="1" applyBorder="1"/>
    <xf numFmtId="0" fontId="0" fillId="6" borderId="0" xfId="0" applyFill="1"/>
    <xf numFmtId="0" fontId="0" fillId="5" borderId="2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4" xfId="1" applyNumberFormat="1" applyFont="1" applyFill="1" applyBorder="1"/>
    <xf numFmtId="0" fontId="0" fillId="0" borderId="0" xfId="0" applyAlignment="1">
      <alignment horizontal="center"/>
    </xf>
    <xf numFmtId="9" fontId="0" fillId="0" borderId="0" xfId="1" applyFont="1"/>
    <xf numFmtId="179" fontId="7" fillId="0" borderId="7" xfId="3" applyNumberFormat="1" applyFont="1" applyBorder="1"/>
    <xf numFmtId="179" fontId="7" fillId="5" borderId="7" xfId="3" applyNumberFormat="1" applyFont="1" applyFill="1" applyBorder="1"/>
    <xf numFmtId="179" fontId="7" fillId="5" borderId="7" xfId="0" applyNumberFormat="1" applyFont="1" applyFill="1" applyBorder="1"/>
    <xf numFmtId="167" fontId="0" fillId="0" borderId="7" xfId="3" applyNumberFormat="1" applyFont="1" applyFill="1" applyBorder="1" applyAlignment="1"/>
    <xf numFmtId="167" fontId="0" fillId="5" borderId="7" xfId="3" applyNumberFormat="1" applyFont="1" applyFill="1" applyBorder="1" applyAlignment="1"/>
    <xf numFmtId="167" fontId="0" fillId="5" borderId="0" xfId="3" applyNumberFormat="1" applyFont="1" applyFill="1"/>
  </cellXfs>
  <cellStyles count="4">
    <cellStyle name="Normál" xfId="0" builtinId="0"/>
    <cellStyle name="Normál_1" xfId="2" xr:uid="{00000000-0005-0000-0000-000001000000}"/>
    <cellStyle name="Pénznem" xfId="3" builtinId="4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feladat'!$B$10:$B$13</c:f>
              <c:strCache>
                <c:ptCount val="4"/>
                <c:pt idx="0">
                  <c:v>Péter</c:v>
                </c:pt>
                <c:pt idx="1">
                  <c:v>László</c:v>
                </c:pt>
                <c:pt idx="2">
                  <c:v>István</c:v>
                </c:pt>
                <c:pt idx="3">
                  <c:v>János</c:v>
                </c:pt>
              </c:strCache>
            </c:strRef>
          </c:cat>
          <c:val>
            <c:numRef>
              <c:f>'2. feladat'!$H$10:$H$13</c:f>
              <c:numCache>
                <c:formatCode>General</c:formatCode>
                <c:ptCount val="4"/>
                <c:pt idx="0">
                  <c:v>2.6</c:v>
                </c:pt>
                <c:pt idx="1">
                  <c:v>2.4</c:v>
                </c:pt>
                <c:pt idx="2">
                  <c:v>2.2000000000000002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F-4498-A5BD-3B28E12AEA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0670015"/>
        <c:axId val="1130607935"/>
      </c:barChart>
      <c:catAx>
        <c:axId val="13306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30607935"/>
        <c:crosses val="autoZero"/>
        <c:auto val="1"/>
        <c:lblAlgn val="ctr"/>
        <c:lblOffset val="100"/>
        <c:noMultiLvlLbl val="0"/>
      </c:catAx>
      <c:valAx>
        <c:axId val="113060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3067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 feladat'!$B$12:$B$16</c:f>
              <c:strCache>
                <c:ptCount val="5"/>
                <c:pt idx="0">
                  <c:v>Szuper Kft.</c:v>
                </c:pt>
                <c:pt idx="1">
                  <c:v>Nagymenő Rt.</c:v>
                </c:pt>
                <c:pt idx="2">
                  <c:v>Novum Kft.</c:v>
                </c:pt>
                <c:pt idx="3">
                  <c:v>ABC RT.</c:v>
                </c:pt>
                <c:pt idx="4">
                  <c:v>Mindentudó Kft.</c:v>
                </c:pt>
              </c:strCache>
            </c:strRef>
          </c:cat>
          <c:val>
            <c:numRef>
              <c:f>'4. feladat'!$G$12:$G$16</c:f>
              <c:numCache>
                <c:formatCode>_-* #\ ##0\ "Ft"_-;\-* #\ ##0\ "Ft"_-;_-* "-"??\ "Ft"_-;_-@_-</c:formatCode>
                <c:ptCount val="5"/>
                <c:pt idx="0">
                  <c:v>108253</c:v>
                </c:pt>
                <c:pt idx="1">
                  <c:v>48802</c:v>
                </c:pt>
                <c:pt idx="2">
                  <c:v>29976</c:v>
                </c:pt>
                <c:pt idx="3">
                  <c:v>41276</c:v>
                </c:pt>
                <c:pt idx="4">
                  <c:v>47175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E-4DF7-8668-64C1AAE619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1485900</xdr:colOff>
      <xdr:row>11</xdr:row>
      <xdr:rowOff>9525</xdr:rowOff>
    </xdr:from>
    <xdr:to>
      <xdr:col>5</xdr:col>
      <xdr:colOff>1379027</xdr:colOff>
      <xdr:row>13</xdr:row>
      <xdr:rowOff>160682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00725" y="2638425"/>
          <a:ext cx="1836227" cy="532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A sárga hátterű cellákba függvényt (képletet kell írni.)</a:t>
          </a:r>
        </a:p>
      </xdr:txBody>
    </xdr:sp>
    <xdr:clientData/>
  </xdr:twoCellAnchor>
  <xdr:twoCellAnchor>
    <xdr:from>
      <xdr:col>1</xdr:col>
      <xdr:colOff>9525</xdr:colOff>
      <xdr:row>11</xdr:row>
      <xdr:rowOff>0</xdr:rowOff>
    </xdr:from>
    <xdr:to>
      <xdr:col>4</xdr:col>
      <xdr:colOff>638175</xdr:colOff>
      <xdr:row>16</xdr:row>
      <xdr:rowOff>133350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19125" y="2628900"/>
          <a:ext cx="4333875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Számolja ki a sárga</a:t>
          </a:r>
          <a:r>
            <a:rPr lang="hu-HU" sz="1100" baseline="0"/>
            <a:t> hátterű cellák értékét a megfelelő képlettel!</a:t>
          </a:r>
        </a:p>
        <a:p>
          <a:endParaRPr lang="hu-HU" sz="1100" baseline="0"/>
        </a:p>
        <a:p>
          <a:r>
            <a:rPr lang="hu-HU" sz="1100"/>
            <a:t>Formázza meg a számokat</a:t>
          </a:r>
          <a:r>
            <a:rPr lang="hu-HU" sz="1100" baseline="0"/>
            <a:t> tartalmazó cellákat a megfelelő számformátummal (Pénznem, Százalék)!</a:t>
          </a:r>
          <a:endParaRPr lang="hu-HU" sz="1100"/>
        </a:p>
      </xdr:txBody>
    </xdr:sp>
    <xdr:clientData/>
  </xdr:twoCellAnchor>
  <xdr:twoCellAnchor>
    <xdr:from>
      <xdr:col>4</xdr:col>
      <xdr:colOff>1485900</xdr:colOff>
      <xdr:row>14</xdr:row>
      <xdr:rowOff>104775</xdr:rowOff>
    </xdr:from>
    <xdr:to>
      <xdr:col>5</xdr:col>
      <xdr:colOff>1362076</xdr:colOff>
      <xdr:row>17</xdr:row>
      <xdr:rowOff>19050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800725" y="3819525"/>
          <a:ext cx="1819276" cy="4857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Az</a:t>
          </a:r>
          <a:r>
            <a:rPr lang="hu-HU" sz="1100" baseline="0"/>
            <a:t> A1-es cellába írja a teljes nevét!</a:t>
          </a:r>
          <a:endParaRPr lang="hu-H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2198</xdr:colOff>
      <xdr:row>7</xdr:row>
      <xdr:rowOff>13188</xdr:rowOff>
    </xdr:from>
    <xdr:to>
      <xdr:col>12</xdr:col>
      <xdr:colOff>116498</xdr:colOff>
      <xdr:row>9</xdr:row>
      <xdr:rowOff>150934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134833" y="1354015"/>
          <a:ext cx="1938703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A sárga hátterű cellákba függvényt (képletet kell írni.)</a:t>
          </a:r>
        </a:p>
      </xdr:txBody>
    </xdr:sp>
    <xdr:clientData/>
  </xdr:twoCellAnchor>
  <xdr:twoCellAnchor>
    <xdr:from>
      <xdr:col>1</xdr:col>
      <xdr:colOff>0</xdr:colOff>
      <xdr:row>1</xdr:row>
      <xdr:rowOff>174382</xdr:rowOff>
    </xdr:from>
    <xdr:to>
      <xdr:col>9</xdr:col>
      <xdr:colOff>0</xdr:colOff>
      <xdr:row>6</xdr:row>
      <xdr:rowOff>109904</xdr:rowOff>
    </xdr:to>
    <xdr:sp macro="" textlink="">
      <xdr:nvSpPr>
        <xdr:cNvPr id="5" name="Szöveg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608135" y="364882"/>
          <a:ext cx="5524500" cy="88802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1. Számítsa ki a futóverseny helyezéseinek átlagát 2018-2022.</a:t>
          </a:r>
        </a:p>
        <a:p>
          <a:pPr algn="l" rtl="0">
            <a:defRPr sz="1000"/>
          </a:pPr>
          <a:endParaRPr lang="hu-HU" sz="1200" b="0" i="0" u="none" strike="noStrike" baseline="0">
            <a:solidFill>
              <a:srgbClr val="000000"/>
            </a:solidFill>
            <a:latin typeface="+mn-lt"/>
            <a:cs typeface="Arial CE"/>
          </a:endParaRPr>
        </a:p>
        <a:p>
          <a:pPr algn="l" rtl="0">
            <a:defRPr sz="1000"/>
          </a:pP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2. Készítsen oszlopdiagrammot a </a:t>
          </a:r>
          <a:r>
            <a:rPr lang="hu-HU" sz="1200" b="0" i="0" baseline="0">
              <a:effectLst/>
              <a:latin typeface="+mn-lt"/>
              <a:ea typeface="+mn-ea"/>
              <a:cs typeface="+mn-cs"/>
            </a:rPr>
            <a:t>futóverseny helyezéseinek átlagáról</a:t>
          </a: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. </a:t>
          </a:r>
        </a:p>
        <a:p>
          <a:pPr algn="l" rtl="0">
            <a:defRPr sz="1000"/>
          </a:pP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(Diagramcím, Tengelyfeliratok, Adatfeliratok, Vízszintes tengelyen a megnevezések)</a:t>
          </a:r>
        </a:p>
      </xdr:txBody>
    </xdr:sp>
    <xdr:clientData/>
  </xdr:twoCellAnchor>
  <xdr:twoCellAnchor>
    <xdr:from>
      <xdr:col>9</xdr:col>
      <xdr:colOff>32971</xdr:colOff>
      <xdr:row>10</xdr:row>
      <xdr:rowOff>57150</xdr:rowOff>
    </xdr:from>
    <xdr:to>
      <xdr:col>16</xdr:col>
      <xdr:colOff>348029</xdr:colOff>
      <xdr:row>24</xdr:row>
      <xdr:rowOff>111370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77833C8-8DB5-4F14-8E46-2AA215C71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10353</xdr:colOff>
      <xdr:row>1</xdr:row>
      <xdr:rowOff>121341</xdr:rowOff>
    </xdr:from>
    <xdr:to>
      <xdr:col>4</xdr:col>
      <xdr:colOff>414544</xdr:colOff>
      <xdr:row>4</xdr:row>
      <xdr:rowOff>83241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23266" y="295276"/>
          <a:ext cx="1953039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A sárga hátterű cellákba függvényt (képletet kell írni.)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85725</xdr:rowOff>
    </xdr:from>
    <xdr:to>
      <xdr:col>6</xdr:col>
      <xdr:colOff>885825</xdr:colOff>
      <xdr:row>9</xdr:row>
      <xdr:rowOff>76200</xdr:rowOff>
    </xdr:to>
    <xdr:sp macro="" textlink="">
      <xdr:nvSpPr>
        <xdr:cNvPr id="2" name="Szöveg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600075" y="276225"/>
          <a:ext cx="5191125" cy="151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Termelési adatokat mutatja a táblázat. </a:t>
          </a:r>
        </a:p>
        <a:p>
          <a:pPr algn="l" rtl="0">
            <a:defRPr sz="1000"/>
          </a:pPr>
          <a:endParaRPr lang="hu-HU" sz="1200" b="0" i="0" u="none" strike="noStrike" baseline="0">
            <a:solidFill>
              <a:srgbClr val="000000"/>
            </a:solidFill>
            <a:latin typeface="+mn-lt"/>
            <a:cs typeface="Arial CE"/>
          </a:endParaRPr>
        </a:p>
        <a:p>
          <a:pPr algn="l" rtl="0">
            <a:defRPr sz="1000"/>
          </a:pP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Számolja ki a negyedéves átlagokat. </a:t>
          </a:r>
        </a:p>
        <a:p>
          <a:pPr algn="l" rtl="0">
            <a:defRPr sz="1000"/>
          </a:pP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Számolja ki az éves termelést!</a:t>
          </a:r>
        </a:p>
        <a:p>
          <a:pPr algn="l" rtl="0">
            <a:defRPr sz="1000"/>
          </a:pPr>
          <a:endParaRPr lang="hu-HU" sz="1200" b="0" i="0" u="none" strike="noStrike" baseline="0">
            <a:solidFill>
              <a:srgbClr val="000000"/>
            </a:solidFill>
            <a:latin typeface="+mn-lt"/>
            <a:cs typeface="Arial CE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hu-HU" sz="1200" b="0" i="0" u="none" strike="noStrike" baseline="0">
              <a:solidFill>
                <a:srgbClr val="000000"/>
              </a:solidFill>
              <a:latin typeface="+mn-lt"/>
              <a:cs typeface="Arial CE"/>
            </a:rPr>
            <a:t>Készítsen kördiagramot az egyes termékek éves termelési adatairól!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hu-HU" sz="1200" b="0" i="0" baseline="0">
              <a:effectLst/>
              <a:latin typeface="+mn-lt"/>
              <a:ea typeface="+mn-ea"/>
              <a:cs typeface="+mn-cs"/>
            </a:rPr>
            <a:t>(Diagramcím, Adatfeliratok, Jelmagyarázat)</a:t>
          </a:r>
          <a:endParaRPr lang="hu-HU" sz="1200">
            <a:effectLst/>
            <a:latin typeface="+mn-lt"/>
          </a:endParaRPr>
        </a:p>
        <a:p>
          <a:pPr algn="l" rtl="0">
            <a:defRPr sz="1000"/>
          </a:pPr>
          <a:endParaRPr lang="hu-HU" sz="1000" b="0" i="0" u="none" strike="noStrike" baseline="0">
            <a:solidFill>
              <a:srgbClr val="000000"/>
            </a:solidFill>
            <a:latin typeface="Arial CE"/>
            <a:cs typeface="Arial CE"/>
          </a:endParaRPr>
        </a:p>
      </xdr:txBody>
    </xdr:sp>
    <xdr:clientData/>
  </xdr:twoCellAnchor>
  <xdr:twoCellAnchor>
    <xdr:from>
      <xdr:col>7</xdr:col>
      <xdr:colOff>485775</xdr:colOff>
      <xdr:row>1</xdr:row>
      <xdr:rowOff>38100</xdr:rowOff>
    </xdr:from>
    <xdr:to>
      <xdr:col>10</xdr:col>
      <xdr:colOff>600075</xdr:colOff>
      <xdr:row>4</xdr:row>
      <xdr:rowOff>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315075" y="228600"/>
          <a:ext cx="19431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A sárga hátterű cellákba függvényt (képletet kell írni.)</a:t>
          </a:r>
        </a:p>
      </xdr:txBody>
    </xdr:sp>
    <xdr:clientData/>
  </xdr:twoCellAnchor>
  <xdr:twoCellAnchor>
    <xdr:from>
      <xdr:col>7</xdr:col>
      <xdr:colOff>538369</xdr:colOff>
      <xdr:row>4</xdr:row>
      <xdr:rowOff>77857</xdr:rowOff>
    </xdr:from>
    <xdr:to>
      <xdr:col>15</xdr:col>
      <xdr:colOff>207065</xdr:colOff>
      <xdr:row>18</xdr:row>
      <xdr:rowOff>154057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5442A130-EE57-4521-9112-9BDD6CF56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6</xdr:col>
      <xdr:colOff>597776</xdr:colOff>
      <xdr:row>7</xdr:row>
      <xdr:rowOff>3447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2896914" y="762000"/>
          <a:ext cx="1891862" cy="574947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Számoljuk ki</a:t>
          </a:r>
          <a:r>
            <a:rPr lang="hu-HU" sz="1100" baseline="0"/>
            <a:t> a C oszlop adatait képlet segítségével!</a:t>
          </a:r>
        </a:p>
      </xdr:txBody>
    </xdr:sp>
    <xdr:clientData/>
  </xdr:twoCellAnchor>
  <xdr:twoCellAnchor>
    <xdr:from>
      <xdr:col>3</xdr:col>
      <xdr:colOff>604346</xdr:colOff>
      <xdr:row>8</xdr:row>
      <xdr:rowOff>19707</xdr:rowOff>
    </xdr:from>
    <xdr:to>
      <xdr:col>7</xdr:col>
      <xdr:colOff>6570</xdr:colOff>
      <xdr:row>10</xdr:row>
      <xdr:rowOff>170864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2890346" y="1543707"/>
          <a:ext cx="1918138" cy="532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100"/>
            <a:t>A sárga hátterű cellákba függvényt (képletet kell írni.)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/>
  </sheetViews>
  <sheetFormatPr defaultRowHeight="15" x14ac:dyDescent="0.25"/>
  <cols>
    <col min="2" max="2" width="15.7109375" customWidth="1"/>
    <col min="3" max="3" width="16.140625" customWidth="1"/>
    <col min="4" max="4" width="23.140625" customWidth="1"/>
    <col min="5" max="5" width="22.5703125" customWidth="1"/>
    <col min="6" max="6" width="19.28515625" customWidth="1"/>
  </cols>
  <sheetData>
    <row r="1" spans="1:6" s="31" customFormat="1" ht="18.75" customHeight="1" x14ac:dyDescent="0.25">
      <c r="A1" s="31" t="s">
        <v>42</v>
      </c>
    </row>
    <row r="2" spans="1:6" ht="20.25" x14ac:dyDescent="0.3">
      <c r="B2" s="28" t="s">
        <v>19</v>
      </c>
      <c r="C2" s="29"/>
      <c r="D2" s="30"/>
      <c r="E2" s="29"/>
      <c r="F2" s="28"/>
    </row>
    <row r="3" spans="1:6" ht="20.25" x14ac:dyDescent="0.3">
      <c r="B3" s="28" t="s">
        <v>20</v>
      </c>
      <c r="C3" s="29" t="s">
        <v>21</v>
      </c>
      <c r="D3" s="30" t="s">
        <v>22</v>
      </c>
      <c r="E3" s="29" t="s">
        <v>23</v>
      </c>
      <c r="F3" s="28" t="s">
        <v>24</v>
      </c>
    </row>
    <row r="4" spans="1:6" ht="20.25" x14ac:dyDescent="0.3">
      <c r="B4" s="28" t="s">
        <v>25</v>
      </c>
      <c r="C4" s="38">
        <v>12000</v>
      </c>
      <c r="D4" s="30">
        <v>0.2</v>
      </c>
      <c r="E4" s="39">
        <f>C4*D4</f>
        <v>2400</v>
      </c>
      <c r="F4" s="40">
        <f>C4-E4</f>
        <v>9600</v>
      </c>
    </row>
    <row r="5" spans="1:6" ht="20.25" x14ac:dyDescent="0.3">
      <c r="B5" s="28" t="s">
        <v>26</v>
      </c>
      <c r="C5" s="38">
        <v>15000</v>
      </c>
      <c r="D5" s="30">
        <v>0.3</v>
      </c>
      <c r="E5" s="39">
        <f t="shared" ref="E5:E9" si="0">C5*D5</f>
        <v>4500</v>
      </c>
      <c r="F5" s="40">
        <f t="shared" ref="F5:F9" si="1">C5-E5</f>
        <v>10500</v>
      </c>
    </row>
    <row r="6" spans="1:6" ht="20.25" x14ac:dyDescent="0.3">
      <c r="B6" s="28" t="s">
        <v>27</v>
      </c>
      <c r="C6" s="38">
        <v>3000</v>
      </c>
      <c r="D6" s="30">
        <v>0.1</v>
      </c>
      <c r="E6" s="39">
        <f t="shared" si="0"/>
        <v>300</v>
      </c>
      <c r="F6" s="40">
        <f t="shared" si="1"/>
        <v>2700</v>
      </c>
    </row>
    <row r="7" spans="1:6" ht="20.25" x14ac:dyDescent="0.3">
      <c r="B7" s="28" t="s">
        <v>28</v>
      </c>
      <c r="C7" s="38">
        <v>1500</v>
      </c>
      <c r="D7" s="30">
        <v>0.25</v>
      </c>
      <c r="E7" s="39">
        <f t="shared" si="0"/>
        <v>375</v>
      </c>
      <c r="F7" s="40">
        <f t="shared" si="1"/>
        <v>1125</v>
      </c>
    </row>
    <row r="8" spans="1:6" ht="20.25" x14ac:dyDescent="0.3">
      <c r="B8" s="28" t="s">
        <v>29</v>
      </c>
      <c r="C8" s="38">
        <v>3500</v>
      </c>
      <c r="D8" s="30">
        <v>0.2</v>
      </c>
      <c r="E8" s="39">
        <f t="shared" si="0"/>
        <v>700</v>
      </c>
      <c r="F8" s="40">
        <f t="shared" si="1"/>
        <v>2800</v>
      </c>
    </row>
    <row r="9" spans="1:6" ht="20.25" x14ac:dyDescent="0.3">
      <c r="B9" s="28" t="s">
        <v>30</v>
      </c>
      <c r="C9" s="38">
        <v>600</v>
      </c>
      <c r="D9" s="30">
        <v>0.8</v>
      </c>
      <c r="E9" s="39">
        <f t="shared" si="0"/>
        <v>480</v>
      </c>
      <c r="F9" s="40">
        <f t="shared" si="1"/>
        <v>120</v>
      </c>
    </row>
    <row r="10" spans="1:6" x14ac:dyDescent="0.25">
      <c r="D10" s="37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zoomScale="130" zoomScaleNormal="130" workbookViewId="0">
      <selection activeCell="H10" activeCellId="1" sqref="B10:B13 H10:H13"/>
    </sheetView>
  </sheetViews>
  <sheetFormatPr defaultRowHeight="15" x14ac:dyDescent="0.25"/>
  <cols>
    <col min="2" max="2" width="19" bestFit="1" customWidth="1"/>
  </cols>
  <sheetData>
    <row r="1" spans="1:11" s="31" customFormat="1" x14ac:dyDescent="0.25">
      <c r="A1" s="31" t="s">
        <v>42</v>
      </c>
    </row>
    <row r="2" spans="1:11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5">
      <c r="A3" s="13"/>
      <c r="H3" s="13"/>
      <c r="I3" s="13"/>
      <c r="J3" s="13"/>
      <c r="K3" s="13"/>
    </row>
    <row r="4" spans="1:11" x14ac:dyDescent="0.25">
      <c r="A4" s="13"/>
      <c r="H4" s="13"/>
      <c r="I4" s="13"/>
      <c r="J4" s="13"/>
      <c r="K4" s="13"/>
    </row>
    <row r="5" spans="1:11" x14ac:dyDescent="0.25">
      <c r="A5" s="13"/>
      <c r="H5" s="13"/>
      <c r="I5" s="13"/>
      <c r="J5" s="13"/>
      <c r="K5" s="13"/>
    </row>
    <row r="6" spans="1:11" x14ac:dyDescent="0.25">
      <c r="A6" s="13"/>
      <c r="H6" s="13"/>
      <c r="I6" s="13"/>
      <c r="J6" s="13"/>
      <c r="K6" s="13"/>
    </row>
    <row r="7" spans="1:11" ht="15.75" thickBot="1" x14ac:dyDescent="0.3">
      <c r="A7" s="13"/>
      <c r="H7" s="13"/>
      <c r="I7" s="13"/>
      <c r="J7" s="13"/>
      <c r="K7" s="13"/>
    </row>
    <row r="8" spans="1:11" ht="15.75" thickBot="1" x14ac:dyDescent="0.3">
      <c r="A8" s="13"/>
      <c r="B8" s="14" t="s">
        <v>35</v>
      </c>
      <c r="C8" s="14"/>
      <c r="D8" s="14"/>
      <c r="E8" s="14"/>
      <c r="F8" s="14"/>
      <c r="G8" s="14"/>
      <c r="H8" s="15"/>
      <c r="I8" s="13"/>
      <c r="J8" s="13"/>
      <c r="K8" s="13"/>
    </row>
    <row r="9" spans="1:11" ht="15.75" thickBot="1" x14ac:dyDescent="0.3">
      <c r="A9" s="13"/>
      <c r="B9" s="15"/>
      <c r="C9" s="16">
        <v>2018</v>
      </c>
      <c r="D9" s="16">
        <v>2019</v>
      </c>
      <c r="E9" s="16">
        <v>2020</v>
      </c>
      <c r="F9" s="16">
        <v>2021</v>
      </c>
      <c r="G9" s="16">
        <v>2022</v>
      </c>
      <c r="H9" s="17" t="s">
        <v>15</v>
      </c>
      <c r="I9" s="13"/>
      <c r="J9" s="13"/>
      <c r="K9" s="13"/>
    </row>
    <row r="10" spans="1:11" ht="15.75" thickBot="1" x14ac:dyDescent="0.3">
      <c r="A10" s="13"/>
      <c r="B10" s="16" t="s">
        <v>31</v>
      </c>
      <c r="C10" s="15">
        <v>1</v>
      </c>
      <c r="D10" s="15">
        <v>3</v>
      </c>
      <c r="E10" s="15">
        <v>4</v>
      </c>
      <c r="F10" s="15">
        <v>1</v>
      </c>
      <c r="G10" s="15">
        <v>4</v>
      </c>
      <c r="H10" s="18">
        <f>SUM(C10:G10)/5</f>
        <v>2.6</v>
      </c>
      <c r="I10" s="13"/>
      <c r="J10" s="13"/>
      <c r="K10" s="13"/>
    </row>
    <row r="11" spans="1:11" ht="15.75" thickBot="1" x14ac:dyDescent="0.3">
      <c r="A11" s="13"/>
      <c r="B11" s="16" t="s">
        <v>32</v>
      </c>
      <c r="C11" s="15">
        <v>2</v>
      </c>
      <c r="D11" s="15">
        <v>4</v>
      </c>
      <c r="E11" s="15">
        <v>1</v>
      </c>
      <c r="F11" s="15">
        <v>2</v>
      </c>
      <c r="G11" s="15">
        <v>3</v>
      </c>
      <c r="H11" s="18">
        <f t="shared" ref="H11:H13" si="0">SUM(C11:G11)/5</f>
        <v>2.4</v>
      </c>
      <c r="I11" s="13"/>
      <c r="J11" s="13"/>
      <c r="K11" s="13"/>
    </row>
    <row r="12" spans="1:11" ht="15.75" thickBot="1" x14ac:dyDescent="0.3">
      <c r="A12" s="13"/>
      <c r="B12" s="16" t="s">
        <v>33</v>
      </c>
      <c r="C12" s="15">
        <v>3</v>
      </c>
      <c r="D12" s="15">
        <v>1</v>
      </c>
      <c r="E12" s="15">
        <v>2</v>
      </c>
      <c r="F12" s="15">
        <v>3</v>
      </c>
      <c r="G12" s="15">
        <v>2</v>
      </c>
      <c r="H12" s="18">
        <f t="shared" si="0"/>
        <v>2.2000000000000002</v>
      </c>
      <c r="I12" s="13"/>
      <c r="J12" s="13"/>
      <c r="K12" s="13"/>
    </row>
    <row r="13" spans="1:11" ht="15.75" thickBot="1" x14ac:dyDescent="0.3">
      <c r="A13" s="13"/>
      <c r="B13" s="16" t="s">
        <v>34</v>
      </c>
      <c r="C13" s="15">
        <v>4</v>
      </c>
      <c r="D13" s="15">
        <v>2</v>
      </c>
      <c r="E13" s="15">
        <v>3</v>
      </c>
      <c r="F13" s="15">
        <v>4</v>
      </c>
      <c r="G13" s="15">
        <v>1</v>
      </c>
      <c r="H13" s="18">
        <f t="shared" si="0"/>
        <v>2.8</v>
      </c>
      <c r="I13" s="13"/>
      <c r="J13" s="13"/>
      <c r="K13" s="13"/>
    </row>
    <row r="14" spans="1:1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</sheetData>
  <pageMargins left="0.7" right="0.7" top="0.75" bottom="0.75" header="0.3" footer="0.3"/>
  <pageSetup paperSize="513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="115" zoomScaleNormal="115" workbookViewId="0">
      <selection activeCell="I30" sqref="I30"/>
    </sheetView>
  </sheetViews>
  <sheetFormatPr defaultRowHeight="15" x14ac:dyDescent="0.25"/>
  <cols>
    <col min="2" max="2" width="6.42578125" customWidth="1"/>
    <col min="3" max="3" width="7.5703125" customWidth="1"/>
    <col min="5" max="5" width="9.85546875" bestFit="1" customWidth="1"/>
  </cols>
  <sheetData>
    <row r="1" spans="1:6" s="31" customFormat="1" ht="13.5" customHeight="1" x14ac:dyDescent="0.25">
      <c r="A1" s="31" t="s">
        <v>42</v>
      </c>
    </row>
    <row r="6" spans="1:6" ht="15.75" thickBot="1" x14ac:dyDescent="0.3"/>
    <row r="7" spans="1:6" x14ac:dyDescent="0.25">
      <c r="B7" s="1">
        <v>2</v>
      </c>
      <c r="C7" s="2">
        <v>3</v>
      </c>
      <c r="E7" s="3" t="s">
        <v>0</v>
      </c>
      <c r="F7" s="32">
        <f>MIN(B7:C12)</f>
        <v>1</v>
      </c>
    </row>
    <row r="8" spans="1:6" x14ac:dyDescent="0.25">
      <c r="B8" s="4"/>
      <c r="C8" s="5">
        <v>4</v>
      </c>
      <c r="E8" s="6" t="s">
        <v>1</v>
      </c>
      <c r="F8" s="33">
        <f>MAX(B7:C12)</f>
        <v>5</v>
      </c>
    </row>
    <row r="9" spans="1:6" x14ac:dyDescent="0.25">
      <c r="B9" s="4">
        <v>5</v>
      </c>
      <c r="C9" s="5">
        <v>4</v>
      </c>
      <c r="E9" s="6" t="s">
        <v>2</v>
      </c>
      <c r="F9" s="33">
        <f>AVERAGE(B7:C12)</f>
        <v>3.1</v>
      </c>
    </row>
    <row r="10" spans="1:6" ht="15.75" thickBot="1" x14ac:dyDescent="0.3">
      <c r="B10" s="4">
        <v>5</v>
      </c>
      <c r="C10" s="5"/>
      <c r="E10" s="7" t="s">
        <v>3</v>
      </c>
      <c r="F10" s="34">
        <f>COUNT(B7:C12)</f>
        <v>10</v>
      </c>
    </row>
    <row r="11" spans="1:6" ht="15.75" thickBot="1" x14ac:dyDescent="0.3">
      <c r="B11" s="4">
        <v>3</v>
      </c>
      <c r="C11" s="5">
        <v>3</v>
      </c>
    </row>
    <row r="12" spans="1:6" ht="15.75" thickBot="1" x14ac:dyDescent="0.3">
      <c r="B12" s="8">
        <v>1</v>
      </c>
      <c r="C12" s="9">
        <v>1</v>
      </c>
      <c r="E12" s="10" t="s">
        <v>36</v>
      </c>
      <c r="F12" s="11"/>
    </row>
    <row r="13" spans="1:6" x14ac:dyDescent="0.25">
      <c r="E13" s="6" t="s">
        <v>4</v>
      </c>
      <c r="F13" s="35">
        <f>COUNTIF($B7:C$12,4)</f>
        <v>2</v>
      </c>
    </row>
    <row r="14" spans="1:6" x14ac:dyDescent="0.25">
      <c r="E14" s="6" t="s">
        <v>5</v>
      </c>
      <c r="F14" s="35">
        <f>COUNTIF($B7:C$12,5)</f>
        <v>2</v>
      </c>
    </row>
    <row r="15" spans="1:6" x14ac:dyDescent="0.25">
      <c r="E15" s="6" t="s">
        <v>6</v>
      </c>
      <c r="F15" s="35">
        <f>COUNTIF($B7:C$12,4)</f>
        <v>2</v>
      </c>
    </row>
    <row r="16" spans="1:6" x14ac:dyDescent="0.25">
      <c r="E16" s="6" t="s">
        <v>7</v>
      </c>
      <c r="F16" s="35">
        <f>COUNTIF($B7:C$12,2)</f>
        <v>1</v>
      </c>
    </row>
    <row r="17" spans="5:6" ht="15.75" thickBot="1" x14ac:dyDescent="0.3">
      <c r="E17" s="7" t="s">
        <v>8</v>
      </c>
      <c r="F17" s="35">
        <f>COUNTIF($B7:C$12,1)</f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zoomScale="115" zoomScaleNormal="115" workbookViewId="0">
      <selection activeCell="R20" sqref="R20"/>
    </sheetView>
  </sheetViews>
  <sheetFormatPr defaultRowHeight="15" x14ac:dyDescent="0.25"/>
  <cols>
    <col min="2" max="2" width="17.42578125" bestFit="1" customWidth="1"/>
    <col min="3" max="6" width="13.42578125" bestFit="1" customWidth="1"/>
    <col min="7" max="7" width="14.7109375" bestFit="1" customWidth="1"/>
  </cols>
  <sheetData>
    <row r="1" spans="1:7" s="31" customFormat="1" x14ac:dyDescent="0.25">
      <c r="A1" s="31" t="s">
        <v>42</v>
      </c>
    </row>
    <row r="11" spans="1:7" x14ac:dyDescent="0.25">
      <c r="B11" s="19"/>
      <c r="C11" s="20" t="s">
        <v>9</v>
      </c>
      <c r="D11" s="20" t="s">
        <v>10</v>
      </c>
      <c r="E11" s="20" t="s">
        <v>11</v>
      </c>
      <c r="F11" s="20" t="s">
        <v>12</v>
      </c>
      <c r="G11" s="21" t="s">
        <v>13</v>
      </c>
    </row>
    <row r="12" spans="1:7" x14ac:dyDescent="0.25">
      <c r="B12" s="22" t="s">
        <v>37</v>
      </c>
      <c r="C12" s="41">
        <v>23434</v>
      </c>
      <c r="D12" s="41">
        <v>40011</v>
      </c>
      <c r="E12" s="41">
        <v>23043</v>
      </c>
      <c r="F12" s="41">
        <v>21765</v>
      </c>
      <c r="G12" s="42">
        <f>SUM(C12:F12)</f>
        <v>108253</v>
      </c>
    </row>
    <row r="13" spans="1:7" x14ac:dyDescent="0.25">
      <c r="B13" s="22" t="s">
        <v>38</v>
      </c>
      <c r="C13" s="41">
        <v>12230</v>
      </c>
      <c r="D13" s="41">
        <v>13231</v>
      </c>
      <c r="E13" s="41">
        <v>18341</v>
      </c>
      <c r="F13" s="41">
        <v>5000</v>
      </c>
      <c r="G13" s="42">
        <f t="shared" ref="G13:G17" si="0">SUM(C13:F13)</f>
        <v>48802</v>
      </c>
    </row>
    <row r="14" spans="1:7" x14ac:dyDescent="0.25">
      <c r="B14" s="22" t="s">
        <v>39</v>
      </c>
      <c r="C14" s="41">
        <v>9675</v>
      </c>
      <c r="D14" s="41">
        <v>4456</v>
      </c>
      <c r="E14" s="41">
        <v>11324</v>
      </c>
      <c r="F14" s="41">
        <v>4521</v>
      </c>
      <c r="G14" s="42">
        <f t="shared" si="0"/>
        <v>29976</v>
      </c>
    </row>
    <row r="15" spans="1:7" x14ac:dyDescent="0.25">
      <c r="B15" s="22" t="s">
        <v>40</v>
      </c>
      <c r="C15" s="41">
        <v>11143</v>
      </c>
      <c r="D15" s="41">
        <v>8342</v>
      </c>
      <c r="E15" s="41">
        <v>13470</v>
      </c>
      <c r="F15" s="41">
        <v>8321</v>
      </c>
      <c r="G15" s="42">
        <f t="shared" si="0"/>
        <v>41276</v>
      </c>
    </row>
    <row r="16" spans="1:7" x14ac:dyDescent="0.25">
      <c r="B16" s="22" t="s">
        <v>41</v>
      </c>
      <c r="C16" s="41">
        <v>12411</v>
      </c>
      <c r="D16" s="41">
        <v>12345</v>
      </c>
      <c r="E16" s="41">
        <v>14987</v>
      </c>
      <c r="F16" s="41">
        <v>7432</v>
      </c>
      <c r="G16" s="42">
        <f t="shared" si="0"/>
        <v>47175</v>
      </c>
    </row>
    <row r="17" spans="2:7" x14ac:dyDescent="0.25">
      <c r="B17" s="23" t="s">
        <v>14</v>
      </c>
      <c r="C17" s="42">
        <f>AVERAGE(C12:C16)</f>
        <v>13778.6</v>
      </c>
      <c r="D17" s="42">
        <f t="shared" ref="D17:F17" si="1">AVERAGE(D12:D16)</f>
        <v>15677</v>
      </c>
      <c r="E17" s="42">
        <f t="shared" si="1"/>
        <v>16233</v>
      </c>
      <c r="F17" s="42">
        <f t="shared" si="1"/>
        <v>9407.7999999999993</v>
      </c>
      <c r="G17" s="42">
        <f t="shared" si="0"/>
        <v>55096.399999999994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tabSelected="1" zoomScale="160" zoomScaleNormal="160" workbookViewId="0">
      <selection activeCell="F14" sqref="F14:F15"/>
    </sheetView>
  </sheetViews>
  <sheetFormatPr defaultRowHeight="15" x14ac:dyDescent="0.25"/>
  <cols>
    <col min="2" max="2" width="10.7109375" customWidth="1"/>
    <col min="3" max="3" width="14.42578125" customWidth="1"/>
    <col min="6" max="6" width="10.28515625" bestFit="1" customWidth="1"/>
  </cols>
  <sheetData>
    <row r="1" spans="1:6" s="31" customFormat="1" x14ac:dyDescent="0.25">
      <c r="A1" s="31" t="s">
        <v>42</v>
      </c>
    </row>
    <row r="2" spans="1:6" x14ac:dyDescent="0.25">
      <c r="E2" s="36" t="s">
        <v>16</v>
      </c>
      <c r="F2" s="36"/>
    </row>
    <row r="3" spans="1:6" x14ac:dyDescent="0.25">
      <c r="B3" s="24" t="s">
        <v>17</v>
      </c>
      <c r="C3" s="24" t="s">
        <v>18</v>
      </c>
      <c r="E3" s="25">
        <v>1</v>
      </c>
      <c r="F3" s="26">
        <v>364</v>
      </c>
    </row>
    <row r="4" spans="1:6" x14ac:dyDescent="0.25">
      <c r="B4" s="27">
        <v>1</v>
      </c>
      <c r="C4" s="43">
        <f>$F$3*B4</f>
        <v>364</v>
      </c>
    </row>
    <row r="5" spans="1:6" x14ac:dyDescent="0.25">
      <c r="B5" s="27">
        <v>2</v>
      </c>
      <c r="C5" s="43">
        <f t="shared" ref="C5:C9" si="0">$F$3*B5</f>
        <v>728</v>
      </c>
    </row>
    <row r="6" spans="1:6" x14ac:dyDescent="0.25">
      <c r="B6" s="27">
        <v>10</v>
      </c>
      <c r="C6" s="43">
        <f t="shared" si="0"/>
        <v>3640</v>
      </c>
    </row>
    <row r="7" spans="1:6" x14ac:dyDescent="0.25">
      <c r="B7" s="27">
        <v>20</v>
      </c>
      <c r="C7" s="43">
        <f t="shared" si="0"/>
        <v>7280</v>
      </c>
    </row>
    <row r="8" spans="1:6" x14ac:dyDescent="0.25">
      <c r="B8" s="27">
        <v>25</v>
      </c>
      <c r="C8" s="43">
        <f t="shared" si="0"/>
        <v>9100</v>
      </c>
    </row>
    <row r="9" spans="1:6" x14ac:dyDescent="0.25">
      <c r="B9" s="27">
        <v>100</v>
      </c>
      <c r="C9" s="43">
        <f t="shared" si="0"/>
        <v>36400</v>
      </c>
    </row>
  </sheetData>
  <mergeCells count="1"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1. feladat</vt:lpstr>
      <vt:lpstr>2. feladat</vt:lpstr>
      <vt:lpstr>3. feladat</vt:lpstr>
      <vt:lpstr>4. feladat</vt:lpstr>
      <vt:lpstr>5. feladat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Windows-felhasználó</dc:creator>
  <cp:lastModifiedBy>Tulkán Csanád Tibor</cp:lastModifiedBy>
  <dcterms:created xsi:type="dcterms:W3CDTF">2020-02-11T11:32:10Z</dcterms:created>
  <dcterms:modified xsi:type="dcterms:W3CDTF">2026-09-09T08:32:12Z</dcterms:modified>
</cp:coreProperties>
</file>