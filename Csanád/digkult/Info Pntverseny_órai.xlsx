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2026_2027\digkult\"/>
    </mc:Choice>
  </mc:AlternateContent>
  <xr:revisionPtr revIDLastSave="0" documentId="13_ncr:1_{32739D3D-D624-4357-93EA-2DB373CCCF92}" xr6:coauthVersionLast="36" xr6:coauthVersionMax="47" xr10:uidLastSave="{00000000-0000-0000-0000-000000000000}"/>
  <bookViews>
    <workbookView xWindow="0" yWindow="0" windowWidth="28800" windowHeight="12225" xr2:uid="{8C9520A0-B700-4AF4-BA63-0AC4388CD5FD}"/>
  </bookViews>
  <sheets>
    <sheet name="Munka1" sheetId="1" r:id="rId1"/>
    <sheet name="Munka2" sheetId="3" r:id="rId2"/>
  </sheets>
  <definedNames>
    <definedName name="_xlnm._FilterDatabase" localSheetId="0" hidden="1">Munka1!$A$1:$D$9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1" i="1" l="1"/>
  <c r="B23" i="1"/>
  <c r="B19" i="1"/>
  <c r="B25" i="1"/>
  <c r="B11" i="1"/>
  <c r="B17" i="1"/>
  <c r="B16" i="1"/>
  <c r="B15" i="1"/>
  <c r="B14" i="1"/>
  <c r="B13" i="1"/>
  <c r="B12" i="1"/>
  <c r="C3" i="3"/>
  <c r="C4" i="3"/>
  <c r="C5" i="3"/>
  <c r="C6" i="3"/>
  <c r="C7" i="3"/>
  <c r="C8" i="3"/>
  <c r="A5" i="1"/>
  <c r="A6" i="1"/>
  <c r="A7" i="1"/>
  <c r="A8" i="1"/>
  <c r="A9" i="1"/>
  <c r="A4" i="1"/>
  <c r="B12" i="3" l="1"/>
  <c r="B11" i="3"/>
  <c r="B10" i="3"/>
  <c r="C2" i="3"/>
</calcChain>
</file>

<file path=xl/sharedStrings.xml><?xml version="1.0" encoding="utf-8"?>
<sst xmlns="http://schemas.openxmlformats.org/spreadsheetml/2006/main" count="33" uniqueCount="28">
  <si>
    <t>Informatika pontverseny</t>
  </si>
  <si>
    <t>Név</t>
  </si>
  <si>
    <t>Pontszám</t>
  </si>
  <si>
    <t>Aladár</t>
  </si>
  <si>
    <t>Evelin</t>
  </si>
  <si>
    <t>Gizella</t>
  </si>
  <si>
    <t>Béla</t>
  </si>
  <si>
    <t>Összeg</t>
  </si>
  <si>
    <t>Legkisebb</t>
  </si>
  <si>
    <t>Legnagyobb</t>
  </si>
  <si>
    <t>Medián</t>
  </si>
  <si>
    <t>Átlag</t>
  </si>
  <si>
    <t>Második legkisebb</t>
  </si>
  <si>
    <t>Második legnagyobb</t>
  </si>
  <si>
    <t>5-nél nagyobb pontszámok összege</t>
  </si>
  <si>
    <t>5-nél nagyobb pontszámok átlaga</t>
  </si>
  <si>
    <t>Fiúk száma</t>
  </si>
  <si>
    <t xml:space="preserve">Lányok száma </t>
  </si>
  <si>
    <t>F</t>
  </si>
  <si>
    <t>L</t>
  </si>
  <si>
    <t xml:space="preserve">Továbbjutó (legalább 8pont) </t>
  </si>
  <si>
    <t>Adatok</t>
  </si>
  <si>
    <t>Pozitív/Nem pozitív</t>
  </si>
  <si>
    <t>Második legkisebb:</t>
  </si>
  <si>
    <t>Második legnagyobb:</t>
  </si>
  <si>
    <t>Fiu/lány</t>
  </si>
  <si>
    <t>Ancsi</t>
  </si>
  <si>
    <t>Dániel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</si>
</sst>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4"/>
      <color theme="0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Fill="1"/>
    <xf numFmtId="2" fontId="0" fillId="0" borderId="0" xfId="0" applyNumberFormat="1" applyFill="1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5" borderId="3" xfId="0" applyFill="1" applyBorder="1"/>
    <xf numFmtId="0" fontId="0" fillId="3" borderId="5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/>
    <xf numFmtId="0" fontId="1" fillId="2" borderId="7" xfId="0" applyFont="1" applyFill="1" applyBorder="1"/>
    <xf numFmtId="0" fontId="0" fillId="3" borderId="1" xfId="0" applyFill="1" applyBorder="1"/>
    <xf numFmtId="0" fontId="0" fillId="4" borderId="3" xfId="0" applyFill="1" applyBorder="1"/>
    <xf numFmtId="0" fontId="0" fillId="3" borderId="4" xfId="0" applyFill="1" applyBorder="1"/>
    <xf numFmtId="0" fontId="0" fillId="4" borderId="6" xfId="0" applyFill="1" applyBorder="1"/>
    <xf numFmtId="2" fontId="0" fillId="4" borderId="6" xfId="0" applyNumberFormat="1" applyFill="1" applyBorder="1"/>
    <xf numFmtId="0" fontId="0" fillId="3" borderId="7" xfId="0" applyFill="1" applyBorder="1"/>
    <xf numFmtId="0" fontId="0" fillId="4" borderId="9" xfId="0" applyFill="1" applyBorder="1"/>
    <xf numFmtId="0" fontId="0" fillId="3" borderId="11" xfId="0" applyFill="1" applyBorder="1" applyAlignment="1">
      <alignment wrapText="1"/>
    </xf>
    <xf numFmtId="0" fontId="0" fillId="4" borderId="12" xfId="0" applyFill="1" applyBorder="1"/>
    <xf numFmtId="0" fontId="0" fillId="3" borderId="11" xfId="0" applyFill="1" applyBorder="1"/>
  </cellXfs>
  <cellStyles count="1">
    <cellStyle name="Normál" xfId="0" builtinId="0"/>
  </cellStyles>
  <dxfs count="0"/>
  <tableStyles count="0" defaultTableStyle="TableStyleMedium2" defaultPivotStyle="PivotStyleLight16"/>
  <colors>
    <mruColors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Munka1!$B$4:$B$9</c:f>
              <c:strCache>
                <c:ptCount val="6"/>
                <c:pt idx="0">
                  <c:v>Béla</c:v>
                </c:pt>
                <c:pt idx="1">
                  <c:v>Evelin</c:v>
                </c:pt>
                <c:pt idx="2">
                  <c:v>Gizella</c:v>
                </c:pt>
                <c:pt idx="3">
                  <c:v>Ancsi</c:v>
                </c:pt>
                <c:pt idx="4">
                  <c:v>Aladár</c:v>
                </c:pt>
                <c:pt idx="5">
                  <c:v>Dániel</c:v>
                </c:pt>
              </c:strCache>
            </c:strRef>
          </c:cat>
          <c:val>
            <c:numRef>
              <c:f>Munka1!$C$4:$C$9</c:f>
              <c:numCache>
                <c:formatCode>General</c:formatCode>
                <c:ptCount val="6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4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AA-4825-8AF0-2CB82C14124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55023824"/>
        <c:axId val="1709718656"/>
      </c:barChart>
      <c:catAx>
        <c:axId val="1755023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709718656"/>
        <c:crosses val="autoZero"/>
        <c:auto val="1"/>
        <c:lblAlgn val="ctr"/>
        <c:lblOffset val="100"/>
        <c:noMultiLvlLbl val="0"/>
      </c:catAx>
      <c:valAx>
        <c:axId val="170971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755023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281608</xdr:colOff>
      <xdr:row>2</xdr:row>
      <xdr:rowOff>110987</xdr:rowOff>
    </xdr:from>
    <xdr:to>
      <xdr:col>12</xdr:col>
      <xdr:colOff>563217</xdr:colOff>
      <xdr:row>16</xdr:row>
      <xdr:rowOff>145774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A965FCF8-8761-469E-A7A9-436CBA824D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36075-5503-4F29-8504-FBCF30A753F2}">
  <dimension ref="A1:D26"/>
  <sheetViews>
    <sheetView tabSelected="1" zoomScale="115" zoomScaleNormal="115" workbookViewId="0">
      <selection activeCell="C21" activeCellId="1" sqref="B10 C21"/>
    </sheetView>
  </sheetViews>
  <sheetFormatPr defaultRowHeight="15" x14ac:dyDescent="0.25"/>
  <cols>
    <col min="1" max="1" width="26.42578125" style="1" customWidth="1"/>
    <col min="2" max="2" width="9.140625" style="1"/>
    <col min="3" max="3" width="14.85546875" style="1" customWidth="1"/>
    <col min="4" max="16384" width="9.140625" style="1"/>
  </cols>
  <sheetData>
    <row r="1" spans="1:4" ht="15" customHeight="1" x14ac:dyDescent="0.25">
      <c r="A1" s="14" t="s">
        <v>0</v>
      </c>
      <c r="B1" s="14"/>
      <c r="C1" s="14"/>
      <c r="D1" s="14"/>
    </row>
    <row r="2" spans="1:4" ht="15.75" customHeight="1" thickBot="1" x14ac:dyDescent="0.3">
      <c r="A2" s="15"/>
      <c r="B2" s="15"/>
      <c r="C2" s="15"/>
      <c r="D2" s="15"/>
    </row>
    <row r="3" spans="1:4" ht="15.75" thickTop="1" x14ac:dyDescent="0.25">
      <c r="A3" s="16" t="s">
        <v>20</v>
      </c>
      <c r="B3" s="5" t="s">
        <v>1</v>
      </c>
      <c r="C3" s="6" t="s">
        <v>2</v>
      </c>
      <c r="D3" s="7" t="s">
        <v>25</v>
      </c>
    </row>
    <row r="4" spans="1:4" x14ac:dyDescent="0.25">
      <c r="A4" s="17" t="str">
        <f>IF(C4&gt;=8,"továbbjut","nem jut tovább")</f>
        <v>továbbjut</v>
      </c>
      <c r="B4" s="8" t="s">
        <v>6</v>
      </c>
      <c r="C4" s="9">
        <v>10</v>
      </c>
      <c r="D4" s="10" t="s">
        <v>18</v>
      </c>
    </row>
    <row r="5" spans="1:4" x14ac:dyDescent="0.25">
      <c r="A5" s="17" t="str">
        <f t="shared" ref="A5:A9" si="0">IF(C5&gt;=8,"továbbjut","nem jut tovább")</f>
        <v>továbbjut</v>
      </c>
      <c r="B5" s="8" t="s">
        <v>4</v>
      </c>
      <c r="C5" s="9">
        <v>9</v>
      </c>
      <c r="D5" s="10" t="s">
        <v>19</v>
      </c>
    </row>
    <row r="6" spans="1:4" x14ac:dyDescent="0.25">
      <c r="A6" s="17" t="str">
        <f t="shared" si="0"/>
        <v>továbbjut</v>
      </c>
      <c r="B6" s="8" t="s">
        <v>5</v>
      </c>
      <c r="C6" s="9">
        <v>8</v>
      </c>
      <c r="D6" s="10" t="s">
        <v>18</v>
      </c>
    </row>
    <row r="7" spans="1:4" x14ac:dyDescent="0.25">
      <c r="A7" s="17" t="str">
        <f t="shared" si="0"/>
        <v>nem jut tovább</v>
      </c>
      <c r="B7" s="8" t="s">
        <v>26</v>
      </c>
      <c r="C7" s="9">
        <v>7</v>
      </c>
      <c r="D7" s="10" t="s">
        <v>18</v>
      </c>
    </row>
    <row r="8" spans="1:4" x14ac:dyDescent="0.25">
      <c r="A8" s="17" t="str">
        <f t="shared" si="0"/>
        <v>nem jut tovább</v>
      </c>
      <c r="B8" s="8" t="s">
        <v>3</v>
      </c>
      <c r="C8" s="9">
        <v>4</v>
      </c>
      <c r="D8" s="10" t="s">
        <v>19</v>
      </c>
    </row>
    <row r="9" spans="1:4" ht="15.75" thickBot="1" x14ac:dyDescent="0.3">
      <c r="A9" s="18" t="str">
        <f t="shared" si="0"/>
        <v>nem jut tovább</v>
      </c>
      <c r="B9" s="11" t="s">
        <v>27</v>
      </c>
      <c r="C9" s="12">
        <v>3</v>
      </c>
      <c r="D9" s="13" t="s">
        <v>19</v>
      </c>
    </row>
    <row r="10" spans="1:4" ht="16.5" thickTop="1" thickBot="1" x14ac:dyDescent="0.3"/>
    <row r="11" spans="1:4" ht="15.75" thickTop="1" x14ac:dyDescent="0.25">
      <c r="A11" s="19" t="s">
        <v>7</v>
      </c>
      <c r="B11" s="20">
        <f>SUM(C4:C9)</f>
        <v>41</v>
      </c>
    </row>
    <row r="12" spans="1:4" x14ac:dyDescent="0.25">
      <c r="A12" s="21" t="s">
        <v>8</v>
      </c>
      <c r="B12" s="22">
        <f>MIN(C4:C9)</f>
        <v>3</v>
      </c>
    </row>
    <row r="13" spans="1:4" x14ac:dyDescent="0.25">
      <c r="A13" s="21" t="s">
        <v>9</v>
      </c>
      <c r="B13" s="22">
        <f>MAX(C4:C9)</f>
        <v>10</v>
      </c>
    </row>
    <row r="14" spans="1:4" x14ac:dyDescent="0.25">
      <c r="A14" s="21" t="s">
        <v>10</v>
      </c>
      <c r="B14" s="22">
        <f>MEDIAN(C4:C9)</f>
        <v>7.5</v>
      </c>
    </row>
    <row r="15" spans="1:4" x14ac:dyDescent="0.25">
      <c r="A15" s="21" t="s">
        <v>11</v>
      </c>
      <c r="B15" s="23">
        <f>AVERAGE(C4:C9)</f>
        <v>6.833333333333333</v>
      </c>
      <c r="C15" s="2"/>
    </row>
    <row r="16" spans="1:4" x14ac:dyDescent="0.25">
      <c r="A16" s="21" t="s">
        <v>12</v>
      </c>
      <c r="B16" s="22">
        <f>SMALL(C4:C9,2)</f>
        <v>4</v>
      </c>
    </row>
    <row r="17" spans="1:2" ht="15.75" thickBot="1" x14ac:dyDescent="0.3">
      <c r="A17" s="24" t="s">
        <v>13</v>
      </c>
      <c r="B17" s="25">
        <f>LARGE(C4:C9,2)</f>
        <v>9</v>
      </c>
    </row>
    <row r="18" spans="1:2" ht="16.5" thickTop="1" thickBot="1" x14ac:dyDescent="0.3"/>
    <row r="19" spans="1:2" ht="28.5" customHeight="1" thickTop="1" thickBot="1" x14ac:dyDescent="0.3">
      <c r="A19" s="26" t="s">
        <v>14</v>
      </c>
      <c r="B19" s="27">
        <f>SUMIF(C4:C9,"&gt;5",C4:C9)</f>
        <v>34</v>
      </c>
    </row>
    <row r="20" spans="1:2" ht="16.5" thickTop="1" thickBot="1" x14ac:dyDescent="0.3"/>
    <row r="21" spans="1:2" ht="29.25" customHeight="1" thickTop="1" thickBot="1" x14ac:dyDescent="0.3">
      <c r="A21" s="26" t="s">
        <v>15</v>
      </c>
      <c r="B21" s="27">
        <f>AVERAGEIF(C4:C9,"&gt;5",C4:C9)</f>
        <v>8.5</v>
      </c>
    </row>
    <row r="22" spans="1:2" ht="16.5" thickTop="1" thickBot="1" x14ac:dyDescent="0.3"/>
    <row r="23" spans="1:2" ht="16.5" thickTop="1" thickBot="1" x14ac:dyDescent="0.3">
      <c r="A23" s="28" t="s">
        <v>16</v>
      </c>
      <c r="B23" s="27">
        <f>COUNTIF(D4:D9,"F")</f>
        <v>3</v>
      </c>
    </row>
    <row r="24" spans="1:2" ht="16.5" thickTop="1" thickBot="1" x14ac:dyDescent="0.3"/>
    <row r="25" spans="1:2" ht="16.5" thickTop="1" thickBot="1" x14ac:dyDescent="0.3">
      <c r="A25" s="28" t="s">
        <v>17</v>
      </c>
      <c r="B25" s="27">
        <f>COUNTIF(D4:D9,"L")</f>
        <v>3</v>
      </c>
    </row>
    <row r="26" spans="1:2" ht="15.75" thickTop="1" x14ac:dyDescent="0.25"/>
  </sheetData>
  <autoFilter ref="A1:D9" xr:uid="{92A3DDD8-9C08-47F9-9E14-F1EDC3B4A0C0}">
    <filterColumn colId="0" showButton="0"/>
    <filterColumn colId="1" showButton="0"/>
    <filterColumn colId="2" showButton="0"/>
  </autoFilter>
  <sortState ref="C4:C9">
    <sortCondition descending="1" ref="C4"/>
  </sortState>
  <mergeCells count="1">
    <mergeCell ref="A1:D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A55AF-9475-469F-810D-9C91CFBA2C31}">
  <dimension ref="A1:C12"/>
  <sheetViews>
    <sheetView zoomScale="115" zoomScaleNormal="115" workbookViewId="0">
      <selection activeCell="B11" sqref="B11"/>
    </sheetView>
  </sheetViews>
  <sheetFormatPr defaultRowHeight="15" x14ac:dyDescent="0.25"/>
  <cols>
    <col min="1" max="1" width="11.7109375" customWidth="1"/>
    <col min="3" max="3" width="18.140625" customWidth="1"/>
  </cols>
  <sheetData>
    <row r="1" spans="1:3" x14ac:dyDescent="0.25">
      <c r="B1" s="3" t="s">
        <v>21</v>
      </c>
      <c r="C1" t="s">
        <v>22</v>
      </c>
    </row>
    <row r="2" spans="1:3" x14ac:dyDescent="0.25">
      <c r="B2">
        <v>-2</v>
      </c>
      <c r="C2" t="str">
        <f>IF(B2&gt;0,"pozitív","nem pozitív")</f>
        <v>nem pozitív</v>
      </c>
    </row>
    <row r="3" spans="1:3" x14ac:dyDescent="0.25">
      <c r="B3">
        <v>-1</v>
      </c>
      <c r="C3" t="str">
        <f t="shared" ref="C3:C8" si="0">IF(B3&gt;0,"pozitív","nem pozitív")</f>
        <v>nem pozitív</v>
      </c>
    </row>
    <row r="4" spans="1:3" x14ac:dyDescent="0.25">
      <c r="B4">
        <v>0</v>
      </c>
      <c r="C4" t="str">
        <f t="shared" si="0"/>
        <v>nem pozitív</v>
      </c>
    </row>
    <row r="5" spans="1:3" x14ac:dyDescent="0.25">
      <c r="B5">
        <v>0</v>
      </c>
      <c r="C5" t="str">
        <f t="shared" si="0"/>
        <v>nem pozitív</v>
      </c>
    </row>
    <row r="6" spans="1:3" x14ac:dyDescent="0.25">
      <c r="B6">
        <v>1</v>
      </c>
      <c r="C6" t="str">
        <f t="shared" si="0"/>
        <v>pozitív</v>
      </c>
    </row>
    <row r="7" spans="1:3" x14ac:dyDescent="0.25">
      <c r="B7">
        <v>1</v>
      </c>
      <c r="C7" t="str">
        <f t="shared" si="0"/>
        <v>pozitív</v>
      </c>
    </row>
    <row r="8" spans="1:3" x14ac:dyDescent="0.25">
      <c r="B8">
        <v>2</v>
      </c>
      <c r="C8" t="str">
        <f t="shared" si="0"/>
        <v>pozitív</v>
      </c>
    </row>
    <row r="10" spans="1:3" x14ac:dyDescent="0.25">
      <c r="A10" t="s">
        <v>10</v>
      </c>
      <c r="B10">
        <f>MEDIAN(B2:B8)</f>
        <v>0</v>
      </c>
    </row>
    <row r="11" spans="1:3" s="4" customFormat="1" ht="46.5" customHeight="1" x14ac:dyDescent="0.25">
      <c r="A11" s="4" t="s">
        <v>23</v>
      </c>
      <c r="B11" s="4">
        <f>SMALL(B2:B8,2)</f>
        <v>-1</v>
      </c>
    </row>
    <row r="12" spans="1:3" s="4" customFormat="1" ht="46.5" customHeight="1" x14ac:dyDescent="0.25">
      <c r="A12" s="4" t="s">
        <v>24</v>
      </c>
      <c r="B12" s="4">
        <f>LARGE(B2:B8,2)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Munka2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Détári Kata</dc:creator>
  <cp:lastModifiedBy>Tulkán Csanád Tibor</cp:lastModifiedBy>
  <dcterms:created xsi:type="dcterms:W3CDTF">2023-11-29T08:55:26Z</dcterms:created>
  <dcterms:modified xsi:type="dcterms:W3CDTF">2026-09-23T08:18:32Z</dcterms:modified>
</cp:coreProperties>
</file>