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C391C0D5-0598-453A-9E84-64A6317F028B}" xr6:coauthVersionLast="36" xr6:coauthVersionMax="47" xr10:uidLastSave="{00000000-0000-0000-0000-000000000000}"/>
  <bookViews>
    <workbookView xWindow="0" yWindow="0" windowWidth="28800" windowHeight="12225" xr2:uid="{A3A46B76-03DD-4832-B866-CFE4C3B32A2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5" i="1"/>
  <c r="D15" i="1"/>
  <c r="D14" i="1"/>
  <c r="D13" i="1"/>
  <c r="D12" i="1"/>
  <c r="D6" i="1"/>
  <c r="D7" i="1"/>
  <c r="D8" i="1"/>
  <c r="D9" i="1"/>
  <c r="D10" i="1"/>
  <c r="D5" i="1"/>
</calcChain>
</file>

<file path=xl/sharedStrings.xml><?xml version="1.0" encoding="utf-8"?>
<sst xmlns="http://schemas.openxmlformats.org/spreadsheetml/2006/main" count="21" uniqueCount="21">
  <si>
    <t>A világoskék cellákat töltsd ki képletekkel.</t>
  </si>
  <si>
    <t>Termény</t>
  </si>
  <si>
    <t>Szedett (kg)</t>
  </si>
  <si>
    <t>Eladott (kg)</t>
  </si>
  <si>
    <t>Megmaradt (kg)</t>
  </si>
  <si>
    <t>Rendelés</t>
  </si>
  <si>
    <t>Paradicsom</t>
  </si>
  <si>
    <t>Paprika</t>
  </si>
  <si>
    <t>Uborka</t>
  </si>
  <si>
    <t>Eper</t>
  </si>
  <si>
    <t>Burgonya</t>
  </si>
  <si>
    <t>Sárgarépa</t>
  </si>
  <si>
    <t>Összes maradék</t>
  </si>
  <si>
    <t>Átlagos maradék</t>
  </si>
  <si>
    <t>Legkevesebb</t>
  </si>
  <si>
    <t>Legtöbb</t>
  </si>
  <si>
    <t>FELADATOK</t>
  </si>
  <si>
    <t>1. A megmaradt mennyiséget kivonással számítsd ki.</t>
  </si>
  <si>
    <t>2. Ha 4 kg-nál kevesebb maradt, jelenjen meg a „Pótolni kell”, különben az „Elegendő” szöveg.</t>
  </si>
  <si>
    <t>3. Számítsd ki a maradék összegét, átlagát, legkisebb és legnagyobb értékét.</t>
  </si>
  <si>
    <t xml:space="preserve"> Kerti termés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</si>
</sst>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1"/>
      <name val="Carlito"/>
    </font>
    <font>
      <sz val="11"/>
      <color rgb="FF1E293B"/>
      <name val="Aptos"/>
    </font>
    <font>
      <b/>
      <sz val="16"/>
      <color rgb="FFFFFFFF"/>
      <name val="Aptos"/>
    </font>
    <font>
      <b/>
      <sz val="11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93A63"/>
      </patternFill>
    </fill>
    <fill>
      <patternFill patternType="solid">
        <fgColor rgb="FF16777F"/>
      </patternFill>
    </fill>
    <fill>
      <patternFill patternType="solid">
        <fgColor rgb="FFE4F4FA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D9E0"/>
      </left>
      <right style="thin">
        <color rgb="FFCCD9E0"/>
      </right>
      <top style="thin">
        <color rgb="FFCCD9E0"/>
      </top>
      <bottom style="thin">
        <color rgb="FFCCD9E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2" applyFont="1" applyAlignment="1">
      <alignment vertical="center"/>
    </xf>
    <xf numFmtId="0" fontId="4" fillId="3" borderId="1" xfId="2" applyFont="1" applyFill="1" applyBorder="1" applyAlignment="1">
      <alignment vertical="center"/>
    </xf>
    <xf numFmtId="0" fontId="2" fillId="0" borderId="1" xfId="2" applyFont="1" applyBorder="1" applyAlignment="1">
      <alignment vertical="center"/>
    </xf>
    <xf numFmtId="0" fontId="2" fillId="4" borderId="1" xfId="2" applyFont="1" applyFill="1" applyBorder="1" applyAlignment="1">
      <alignment vertical="center"/>
    </xf>
    <xf numFmtId="0" fontId="4" fillId="2" borderId="0" xfId="2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2" applyFont="1" applyAlignment="1">
      <alignment vertical="center" wrapText="1"/>
    </xf>
    <xf numFmtId="0" fontId="3" fillId="5" borderId="0" xfId="2" applyFont="1" applyFill="1" applyAlignment="1">
      <alignment vertical="center"/>
    </xf>
    <xf numFmtId="0" fontId="2" fillId="0" borderId="0" xfId="2" applyFont="1" applyAlignment="1">
      <alignment horizontal="left" vertical="center" wrapText="1"/>
    </xf>
  </cellXfs>
  <cellStyles count="3">
    <cellStyle name="Normal" xfId="2" xr:uid="{54BF064C-C4EB-4AFB-85A4-060466584112}"/>
    <cellStyle name="Normál" xfId="0" builtinId="0"/>
    <cellStyle name="Normál 2" xfId="1" xr:uid="{C855F7A7-CC04-4679-A257-4C29F3F0F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Kerti termelés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Munka1!$B$4</c:f>
              <c:strCache>
                <c:ptCount val="1"/>
                <c:pt idx="0">
                  <c:v>Szedett (kg)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Munka1!$A$5:$A$10</c:f>
              <c:strCache>
                <c:ptCount val="6"/>
                <c:pt idx="0">
                  <c:v>Paradicsom</c:v>
                </c:pt>
                <c:pt idx="1">
                  <c:v>Paprika</c:v>
                </c:pt>
                <c:pt idx="2">
                  <c:v>Uborka</c:v>
                </c:pt>
                <c:pt idx="3">
                  <c:v>Eper</c:v>
                </c:pt>
                <c:pt idx="4">
                  <c:v>Burgonya</c:v>
                </c:pt>
                <c:pt idx="5">
                  <c:v>Sárgarépa</c:v>
                </c:pt>
              </c:strCache>
            </c:strRef>
          </c:cat>
          <c:val>
            <c:numRef>
              <c:f>Munka1!$B$5:$B$10</c:f>
              <c:numCache>
                <c:formatCode>General</c:formatCode>
                <c:ptCount val="6"/>
                <c:pt idx="0">
                  <c:v>18</c:v>
                </c:pt>
                <c:pt idx="1">
                  <c:v>12</c:v>
                </c:pt>
                <c:pt idx="2">
                  <c:v>15</c:v>
                </c:pt>
                <c:pt idx="3">
                  <c:v>9</c:v>
                </c:pt>
                <c:pt idx="4">
                  <c:v>25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1-4C9E-A4AF-63AADFF5EE5D}"/>
            </c:ext>
          </c:extLst>
        </c:ser>
        <c:ser>
          <c:idx val="1"/>
          <c:order val="1"/>
          <c:tx>
            <c:strRef>
              <c:f>Munka1!$C$4</c:f>
              <c:strCache>
                <c:ptCount val="1"/>
                <c:pt idx="0">
                  <c:v>Eladott (kg)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Munka1!$A$5:$A$10</c:f>
              <c:strCache>
                <c:ptCount val="6"/>
                <c:pt idx="0">
                  <c:v>Paradicsom</c:v>
                </c:pt>
                <c:pt idx="1">
                  <c:v>Paprika</c:v>
                </c:pt>
                <c:pt idx="2">
                  <c:v>Uborka</c:v>
                </c:pt>
                <c:pt idx="3">
                  <c:v>Eper</c:v>
                </c:pt>
                <c:pt idx="4">
                  <c:v>Burgonya</c:v>
                </c:pt>
                <c:pt idx="5">
                  <c:v>Sárgarépa</c:v>
                </c:pt>
              </c:strCache>
            </c:strRef>
          </c:cat>
          <c:val>
            <c:numRef>
              <c:f>Munka1!$C$5:$C$10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13</c:v>
                </c:pt>
                <c:pt idx="3">
                  <c:v>8</c:v>
                </c:pt>
                <c:pt idx="4">
                  <c:v>16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1-4C9E-A4AF-63AADFF5EE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3176015"/>
        <c:axId val="665732239"/>
      </c:barChart>
      <c:catAx>
        <c:axId val="54317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65732239"/>
        <c:crosses val="autoZero"/>
        <c:auto val="1"/>
        <c:lblAlgn val="ctr"/>
        <c:lblOffset val="100"/>
        <c:noMultiLvlLbl val="0"/>
      </c:catAx>
      <c:valAx>
        <c:axId val="665732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17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</xdr:colOff>
      <xdr:row>2</xdr:row>
      <xdr:rowOff>28574</xdr:rowOff>
    </xdr:from>
    <xdr:to>
      <xdr:col>16</xdr:col>
      <xdr:colOff>581025</xdr:colOff>
      <xdr:row>23</xdr:row>
      <xdr:rowOff>85724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D554B88-06F7-4AB3-B88C-9E6547F80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7ACF-17E2-403E-AEDA-F3C0E403828B}">
  <dimension ref="A1:G25"/>
  <sheetViews>
    <sheetView tabSelected="1" workbookViewId="0">
      <selection activeCell="E5" sqref="E5"/>
    </sheetView>
  </sheetViews>
  <sheetFormatPr defaultColWidth="8.875" defaultRowHeight="14.25"/>
  <cols>
    <col min="1" max="1" width="22.625" style="1" customWidth="1"/>
    <col min="2" max="2" width="11.5" style="1" bestFit="1" customWidth="1"/>
    <col min="3" max="3" width="15.875" style="1" bestFit="1" customWidth="1"/>
    <col min="4" max="4" width="15.25" style="1" bestFit="1" customWidth="1"/>
    <col min="5" max="5" width="10.875" style="1" customWidth="1"/>
    <col min="6" max="16384" width="8.875" style="1"/>
  </cols>
  <sheetData>
    <row r="1" spans="1:7" ht="20.25">
      <c r="A1" s="9" t="s">
        <v>20</v>
      </c>
      <c r="B1" s="9"/>
      <c r="C1" s="9"/>
      <c r="D1" s="9"/>
      <c r="E1" s="9"/>
      <c r="F1" s="9"/>
      <c r="G1" s="9"/>
    </row>
    <row r="2" spans="1:7">
      <c r="A2" s="2" t="s">
        <v>0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2"/>
      <c r="G4" s="2"/>
    </row>
    <row r="5" spans="1:7">
      <c r="A5" s="4" t="s">
        <v>6</v>
      </c>
      <c r="B5" s="4">
        <v>18</v>
      </c>
      <c r="C5" s="4">
        <v>14</v>
      </c>
      <c r="D5" s="5">
        <f>B5-C5</f>
        <v>4</v>
      </c>
      <c r="E5" s="5" t="str">
        <f>IF(D5&lt;4,"Pótolni kell","Elegendő")</f>
        <v>Elegendő</v>
      </c>
      <c r="F5" s="2"/>
      <c r="G5" s="2"/>
    </row>
    <row r="6" spans="1:7">
      <c r="A6" s="4" t="s">
        <v>7</v>
      </c>
      <c r="B6" s="4">
        <v>12</v>
      </c>
      <c r="C6" s="4">
        <v>8</v>
      </c>
      <c r="D6" s="5">
        <f t="shared" ref="D6:D10" si="0">B6-C6</f>
        <v>4</v>
      </c>
      <c r="E6" s="5" t="str">
        <f t="shared" ref="E6:E10" si="1">IF(D6&lt;4,"Pótolni kell","Elegendő")</f>
        <v>Elegendő</v>
      </c>
      <c r="F6" s="2"/>
      <c r="G6" s="2"/>
    </row>
    <row r="7" spans="1:7">
      <c r="A7" s="4" t="s">
        <v>8</v>
      </c>
      <c r="B7" s="4">
        <v>15</v>
      </c>
      <c r="C7" s="4">
        <v>13</v>
      </c>
      <c r="D7" s="5">
        <f t="shared" si="0"/>
        <v>2</v>
      </c>
      <c r="E7" s="5" t="str">
        <f t="shared" si="1"/>
        <v>Pótolni kell</v>
      </c>
      <c r="F7" s="2"/>
      <c r="G7" s="2"/>
    </row>
    <row r="8" spans="1:7">
      <c r="A8" s="4" t="s">
        <v>9</v>
      </c>
      <c r="B8" s="4">
        <v>9</v>
      </c>
      <c r="C8" s="4">
        <v>8</v>
      </c>
      <c r="D8" s="5">
        <f t="shared" si="0"/>
        <v>1</v>
      </c>
      <c r="E8" s="5" t="str">
        <f t="shared" si="1"/>
        <v>Pótolni kell</v>
      </c>
      <c r="F8" s="2"/>
      <c r="G8" s="2"/>
    </row>
    <row r="9" spans="1:7">
      <c r="A9" s="4" t="s">
        <v>10</v>
      </c>
      <c r="B9" s="4">
        <v>25</v>
      </c>
      <c r="C9" s="4">
        <v>16</v>
      </c>
      <c r="D9" s="5">
        <f t="shared" si="0"/>
        <v>9</v>
      </c>
      <c r="E9" s="5" t="str">
        <f t="shared" si="1"/>
        <v>Elegendő</v>
      </c>
      <c r="F9" s="2"/>
      <c r="G9" s="2"/>
    </row>
    <row r="10" spans="1:7">
      <c r="A10" s="4" t="s">
        <v>11</v>
      </c>
      <c r="B10" s="4">
        <v>14</v>
      </c>
      <c r="C10" s="4">
        <v>10</v>
      </c>
      <c r="D10" s="5">
        <f t="shared" si="0"/>
        <v>4</v>
      </c>
      <c r="E10" s="5" t="str">
        <f t="shared" si="1"/>
        <v>Elegendő</v>
      </c>
      <c r="F10" s="2"/>
      <c r="G10" s="2"/>
    </row>
    <row r="11" spans="1:7">
      <c r="A11" s="4"/>
      <c r="B11" s="4"/>
      <c r="C11" s="4"/>
      <c r="D11" s="4"/>
      <c r="E11" s="4"/>
      <c r="F11" s="2"/>
      <c r="G11" s="2"/>
    </row>
    <row r="12" spans="1:7">
      <c r="A12" s="4"/>
      <c r="B12" s="4"/>
      <c r="C12" s="4" t="s">
        <v>12</v>
      </c>
      <c r="D12" s="5">
        <f>SUM(D5:D10)</f>
        <v>24</v>
      </c>
      <c r="E12" s="4"/>
      <c r="F12" s="2"/>
      <c r="G12" s="2"/>
    </row>
    <row r="13" spans="1:7">
      <c r="A13" s="4"/>
      <c r="B13" s="4"/>
      <c r="C13" s="4" t="s">
        <v>13</v>
      </c>
      <c r="D13" s="5">
        <f>AVERAGE(D5:D10)</f>
        <v>4</v>
      </c>
      <c r="E13" s="4"/>
      <c r="F13" s="2"/>
      <c r="G13" s="2"/>
    </row>
    <row r="14" spans="1:7">
      <c r="A14" s="4"/>
      <c r="B14" s="4"/>
      <c r="C14" s="4" t="s">
        <v>14</v>
      </c>
      <c r="D14" s="5">
        <f>MIN(D5:D10)</f>
        <v>1</v>
      </c>
      <c r="E14" s="4"/>
      <c r="F14" s="2"/>
      <c r="G14" s="2"/>
    </row>
    <row r="15" spans="1:7">
      <c r="A15" s="4"/>
      <c r="B15" s="4"/>
      <c r="C15" s="4" t="s">
        <v>15</v>
      </c>
      <c r="D15" s="5">
        <f>MAX(D5:D10)</f>
        <v>9</v>
      </c>
      <c r="E15" s="4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15">
      <c r="A17" s="6" t="s">
        <v>16</v>
      </c>
      <c r="B17" s="6"/>
      <c r="C17" s="6"/>
      <c r="D17" s="6"/>
      <c r="E17" s="6"/>
      <c r="F17" s="6"/>
      <c r="G17" s="6"/>
    </row>
    <row r="18" spans="1:7" s="7" customFormat="1" ht="25.15" customHeight="1">
      <c r="A18" s="10" t="s">
        <v>17</v>
      </c>
      <c r="B18" s="10"/>
      <c r="C18" s="10"/>
      <c r="D18" s="10"/>
      <c r="E18" s="10"/>
      <c r="F18" s="10"/>
      <c r="G18" s="10"/>
    </row>
    <row r="19" spans="1:7" s="7" customFormat="1" ht="32.450000000000003" customHeight="1">
      <c r="A19" s="10" t="s">
        <v>18</v>
      </c>
      <c r="B19" s="10"/>
      <c r="C19" s="10"/>
      <c r="D19" s="10"/>
      <c r="E19" s="10"/>
      <c r="F19" s="10"/>
      <c r="G19" s="10"/>
    </row>
    <row r="20" spans="1:7" s="7" customFormat="1" ht="27" customHeight="1">
      <c r="A20" s="10" t="s">
        <v>19</v>
      </c>
      <c r="B20" s="10"/>
      <c r="C20" s="10"/>
      <c r="D20" s="10"/>
      <c r="E20" s="10"/>
      <c r="F20" s="10"/>
      <c r="G20" s="10"/>
    </row>
    <row r="21" spans="1:7" s="7" customFormat="1" ht="13.9" customHeight="1">
      <c r="A21" s="10"/>
      <c r="B21" s="10"/>
      <c r="C21" s="10"/>
      <c r="D21" s="10"/>
      <c r="E21" s="10"/>
      <c r="F21" s="10"/>
      <c r="G21" s="10"/>
    </row>
    <row r="22" spans="1:7">
      <c r="A22" s="8"/>
      <c r="B22" s="2"/>
      <c r="C22" s="2"/>
      <c r="D22" s="2"/>
      <c r="E22" s="2"/>
      <c r="F22" s="2"/>
      <c r="G22" s="2"/>
    </row>
    <row r="23" spans="1:7">
      <c r="A23" s="8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</sheetData>
  <mergeCells count="4">
    <mergeCell ref="A18:G18"/>
    <mergeCell ref="A19:G19"/>
    <mergeCell ref="A20:G20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Tulkán Csanád Tibor</cp:lastModifiedBy>
  <dcterms:created xsi:type="dcterms:W3CDTF">2026-09-29T18:58:07Z</dcterms:created>
  <dcterms:modified xsi:type="dcterms:W3CDTF">2026-09-30T08:21:17Z</dcterms:modified>
</cp:coreProperties>
</file>