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917E9BC3-AED5-42DE-81E5-8CD2E600289F}" xr6:coauthVersionLast="36" xr6:coauthVersionMax="36" xr10:uidLastSave="{00000000-0000-0000-0000-000000000000}"/>
  <bookViews>
    <workbookView xWindow="0" yWindow="0" windowWidth="28800" windowHeight="12225" xr2:uid="{F0DBDA78-6E63-4D9E-AF39-537DA772CDA6}"/>
  </bookViews>
  <sheets>
    <sheet name="Munka1" sheetId="1" r:id="rId1"/>
    <sheet name="Munka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3" i="1"/>
  <c r="C6" i="2"/>
  <c r="C7" i="2"/>
  <c r="C8" i="2"/>
  <c r="B10" i="2"/>
  <c r="C5" i="2" l="1"/>
  <c r="C3" i="2"/>
  <c r="C10" i="1"/>
  <c r="C4" i="2"/>
  <c r="B12" i="2"/>
  <c r="B11" i="2"/>
  <c r="B9" i="2"/>
  <c r="C12" i="1" l="1"/>
  <c r="B12" i="1"/>
  <c r="C11" i="1"/>
  <c r="B11" i="1"/>
  <c r="B10" i="1"/>
  <c r="B9" i="1"/>
</calcChain>
</file>

<file path=xl/sharedStrings.xml><?xml version="1.0" encoding="utf-8"?>
<sst xmlns="http://schemas.openxmlformats.org/spreadsheetml/2006/main" count="28" uniqueCount="15">
  <si>
    <t>Zöldség - gyümölcs</t>
  </si>
  <si>
    <t>Termék</t>
  </si>
  <si>
    <t>Alma</t>
  </si>
  <si>
    <t>Banán</t>
  </si>
  <si>
    <t>Citrom</t>
  </si>
  <si>
    <t>Burgonya</t>
  </si>
  <si>
    <t>Sárgarépa</t>
  </si>
  <si>
    <t>Káposzta</t>
  </si>
  <si>
    <t>Mennyiség (kg)</t>
  </si>
  <si>
    <t>Összesen:</t>
  </si>
  <si>
    <t>Átlag:</t>
  </si>
  <si>
    <t>Legkevesebb:</t>
  </si>
  <si>
    <t>Legtöbb:</t>
  </si>
  <si>
    <t>Rendelni kell</t>
  </si>
  <si>
    <t>Kell e rendelni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</si>
</sst>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double">
        <color theme="5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double">
        <color theme="5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double">
        <color theme="5" tint="0.39994506668294322"/>
      </left>
      <right style="thin">
        <color theme="7" tint="0.39994506668294322"/>
      </right>
      <top style="thin">
        <color theme="7" tint="0.39994506668294322"/>
      </top>
      <bottom style="double">
        <color theme="5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double">
        <color theme="5" tint="0.39994506668294322"/>
      </bottom>
      <diagonal/>
    </border>
    <border>
      <left style="thin">
        <color theme="7" tint="0.39994506668294322"/>
      </left>
      <right style="double">
        <color theme="5" tint="0.39994506668294322"/>
      </right>
      <top style="thin">
        <color theme="7" tint="0.39994506668294322"/>
      </top>
      <bottom style="double">
        <color theme="5" tint="0.39994506668294322"/>
      </bottom>
      <diagonal/>
    </border>
    <border>
      <left style="double">
        <color theme="5" tint="0.39994506668294322"/>
      </left>
      <right/>
      <top style="double">
        <color theme="5" tint="0.39994506668294322"/>
      </top>
      <bottom style="thin">
        <color theme="7" tint="0.39994506668294322"/>
      </bottom>
      <diagonal/>
    </border>
    <border>
      <left/>
      <right/>
      <top style="double">
        <color theme="5" tint="0.39994506668294322"/>
      </top>
      <bottom style="thin">
        <color theme="7" tint="0.39994506668294322"/>
      </bottom>
      <diagonal/>
    </border>
    <border>
      <left/>
      <right style="double">
        <color theme="5" tint="0.39994506668294322"/>
      </right>
      <top style="double">
        <color theme="5" tint="0.39994506668294322"/>
      </top>
      <bottom style="thin">
        <color theme="7" tint="0.399945066682943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3" xfId="0" applyBorder="1"/>
    <xf numFmtId="0" fontId="0" fillId="0" borderId="6" xfId="0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  <xf numFmtId="0" fontId="0" fillId="2" borderId="1" xfId="0" applyFill="1" applyBorder="1"/>
    <xf numFmtId="0" fontId="0" fillId="2" borderId="4" xfId="0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0" fontId="1" fillId="2" borderId="5" xfId="0" applyFont="1" applyFill="1" applyBorder="1"/>
    <xf numFmtId="0" fontId="0" fillId="5" borderId="3" xfId="0" applyFill="1" applyBorder="1"/>
    <xf numFmtId="0" fontId="0" fillId="6" borderId="3" xfId="0" applyFill="1" applyBorder="1"/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7" borderId="3" xfId="0" applyFill="1" applyBorder="1"/>
    <xf numFmtId="0" fontId="0" fillId="8" borderId="3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Munka1!$B$2</c:f>
              <c:strCache>
                <c:ptCount val="1"/>
                <c:pt idx="0">
                  <c:v>Mennyiség (kg)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4B7-4216-AEEE-B046B9C10C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4B7-4216-AEEE-B046B9C10C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4B7-4216-AEEE-B046B9C10C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4B7-4216-AEEE-B046B9C10C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4B7-4216-AEEE-B046B9C10CB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4B7-4216-AEEE-B046B9C10C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Munka1!$A$3:$A$8</c:f>
              <c:strCache>
                <c:ptCount val="6"/>
                <c:pt idx="0">
                  <c:v>Alma</c:v>
                </c:pt>
                <c:pt idx="1">
                  <c:v>Banán</c:v>
                </c:pt>
                <c:pt idx="2">
                  <c:v>Citrom</c:v>
                </c:pt>
                <c:pt idx="3">
                  <c:v>Burgonya</c:v>
                </c:pt>
                <c:pt idx="4">
                  <c:v>Sárgarépa</c:v>
                </c:pt>
                <c:pt idx="5">
                  <c:v>Káposzta</c:v>
                </c:pt>
              </c:strCache>
            </c:strRef>
          </c:cat>
          <c:val>
            <c:numRef>
              <c:f>Munka1!$B$3:$B$8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20</c:v>
                </c:pt>
                <c:pt idx="4">
                  <c:v>15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6-43BA-9A4D-1D4B4E52E91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'Munka1 (2)'!$B$2</c:f>
              <c:strCache>
                <c:ptCount val="1"/>
                <c:pt idx="0">
                  <c:v>Mennyiség (kg)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278-47B8-BDA6-F1B96B8B2A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278-47B8-BDA6-F1B96B8B2A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278-47B8-BDA6-F1B96B8B2A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278-47B8-BDA6-F1B96B8B2A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278-47B8-BDA6-F1B96B8B2A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278-47B8-BDA6-F1B96B8B2A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'Munka1 (2)'!$A$3:$A$8</c:f>
              <c:strCache>
                <c:ptCount val="6"/>
                <c:pt idx="0">
                  <c:v>Alma</c:v>
                </c:pt>
                <c:pt idx="1">
                  <c:v>Banán</c:v>
                </c:pt>
                <c:pt idx="2">
                  <c:v>Citrom</c:v>
                </c:pt>
                <c:pt idx="3">
                  <c:v>Burgonya</c:v>
                </c:pt>
                <c:pt idx="4">
                  <c:v>Sárgarépa</c:v>
                </c:pt>
                <c:pt idx="5">
                  <c:v>Káposzta</c:v>
                </c:pt>
              </c:strCache>
            </c:strRef>
          </c:cat>
          <c:val>
            <c:numRef>
              <c:f>'Munka1 (2)'!$B$3:$B$8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20</c:v>
                </c:pt>
                <c:pt idx="4">
                  <c:v>15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278-47B8-BDA6-F1B96B8B2A6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184546</xdr:colOff>
      <xdr:row>0</xdr:row>
      <xdr:rowOff>41672</xdr:rowOff>
    </xdr:from>
    <xdr:to>
      <xdr:col>9</xdr:col>
      <xdr:colOff>92272</xdr:colOff>
      <xdr:row>11</xdr:row>
      <xdr:rowOff>130373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8033857-75E6-4CF3-B867-226B7000F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68831</xdr:colOff>
      <xdr:row>12</xdr:row>
      <xdr:rowOff>13881</xdr:rowOff>
    </xdr:from>
    <xdr:to>
      <xdr:col>5</xdr:col>
      <xdr:colOff>35173</xdr:colOff>
      <xdr:row>24</xdr:row>
      <xdr:rowOff>74032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611B435-33D8-4F36-AC19-2CE0ADB8C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F8A3-82D0-4A79-8886-30D7904EF027}">
  <dimension ref="A1:C13"/>
  <sheetViews>
    <sheetView tabSelected="1" zoomScale="130" zoomScaleNormal="130" workbookViewId="0">
      <selection activeCell="E19" sqref="E19"/>
    </sheetView>
  </sheetViews>
  <sheetFormatPr defaultRowHeight="15" x14ac:dyDescent="0.25"/>
  <cols>
    <col min="1" max="1" width="12.5703125" customWidth="1"/>
    <col min="2" max="2" width="14" customWidth="1"/>
    <col min="3" max="3" width="12.85546875" customWidth="1"/>
  </cols>
  <sheetData>
    <row r="1" spans="1:3" ht="28.5" customHeight="1" thickTop="1" x14ac:dyDescent="0.25">
      <c r="A1" s="14" t="s">
        <v>0</v>
      </c>
      <c r="B1" s="15"/>
      <c r="C1" s="16"/>
    </row>
    <row r="2" spans="1:3" x14ac:dyDescent="0.25">
      <c r="A2" s="3" t="s">
        <v>1</v>
      </c>
      <c r="B2" s="4" t="s">
        <v>8</v>
      </c>
      <c r="C2" s="17" t="s">
        <v>14</v>
      </c>
    </row>
    <row r="3" spans="1:3" x14ac:dyDescent="0.25">
      <c r="A3" s="5" t="s">
        <v>2</v>
      </c>
      <c r="B3" s="6">
        <v>10</v>
      </c>
      <c r="C3" s="18" t="str">
        <f>IF(B3&lt;$B$10,"Rendelni kell","")</f>
        <v>Rendelni kell</v>
      </c>
    </row>
    <row r="4" spans="1:3" x14ac:dyDescent="0.25">
      <c r="A4" s="5" t="s">
        <v>3</v>
      </c>
      <c r="B4" s="6">
        <v>5</v>
      </c>
      <c r="C4" s="18" t="str">
        <f t="shared" ref="C4:C8" si="0">IF(B4&lt;$B$10,"Rendelni kell","")</f>
        <v>Rendelni kell</v>
      </c>
    </row>
    <row r="5" spans="1:3" x14ac:dyDescent="0.25">
      <c r="A5" s="5" t="s">
        <v>4</v>
      </c>
      <c r="B5" s="6">
        <v>1</v>
      </c>
      <c r="C5" s="18" t="str">
        <f t="shared" si="0"/>
        <v>Rendelni kell</v>
      </c>
    </row>
    <row r="6" spans="1:3" x14ac:dyDescent="0.25">
      <c r="A6" s="5" t="s">
        <v>5</v>
      </c>
      <c r="B6" s="6">
        <v>20</v>
      </c>
      <c r="C6" s="18" t="str">
        <f t="shared" si="0"/>
        <v/>
      </c>
    </row>
    <row r="7" spans="1:3" x14ac:dyDescent="0.25">
      <c r="A7" s="5" t="s">
        <v>6</v>
      </c>
      <c r="B7" s="6">
        <v>15</v>
      </c>
      <c r="C7" s="18" t="str">
        <f t="shared" si="0"/>
        <v/>
      </c>
    </row>
    <row r="8" spans="1:3" x14ac:dyDescent="0.25">
      <c r="A8" s="5" t="s">
        <v>7</v>
      </c>
      <c r="B8" s="6">
        <v>25</v>
      </c>
      <c r="C8" s="18" t="str">
        <f t="shared" si="0"/>
        <v/>
      </c>
    </row>
    <row r="9" spans="1:3" x14ac:dyDescent="0.25">
      <c r="A9" s="7" t="s">
        <v>9</v>
      </c>
      <c r="B9" s="9">
        <f>SUM(B3:B8)</f>
        <v>76</v>
      </c>
      <c r="C9" s="1"/>
    </row>
    <row r="10" spans="1:3" x14ac:dyDescent="0.25">
      <c r="A10" s="7" t="s">
        <v>10</v>
      </c>
      <c r="B10" s="10">
        <f>AVERAGE(B3:B8)</f>
        <v>12.666666666666666</v>
      </c>
      <c r="C10" s="1">
        <f>ROUND(AVERAGE(B3:B8),2)</f>
        <v>12.67</v>
      </c>
    </row>
    <row r="11" spans="1:3" x14ac:dyDescent="0.25">
      <c r="A11" s="7" t="s">
        <v>11</v>
      </c>
      <c r="B11" s="9">
        <f>SMALL(B3:B8,1)</f>
        <v>1</v>
      </c>
      <c r="C11" s="1">
        <f>MIN(B3:B8)</f>
        <v>1</v>
      </c>
    </row>
    <row r="12" spans="1:3" ht="15.75" thickBot="1" x14ac:dyDescent="0.3">
      <c r="A12" s="8" t="s">
        <v>12</v>
      </c>
      <c r="B12" s="11">
        <f>LARGE(B3:B8,1)</f>
        <v>25</v>
      </c>
      <c r="C12" s="2">
        <f>MAX(B3:B8)</f>
        <v>25</v>
      </c>
    </row>
    <row r="13" spans="1:3" ht="15.75" thickTop="1" x14ac:dyDescent="0.25"/>
  </sheetData>
  <mergeCells count="1">
    <mergeCell ref="A1:C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B55C-EB19-4781-90CE-F76CDBE79C2B}">
  <dimension ref="A1:C13"/>
  <sheetViews>
    <sheetView zoomScale="145" zoomScaleNormal="145" workbookViewId="0">
      <selection activeCell="C3" sqref="C3"/>
    </sheetView>
  </sheetViews>
  <sheetFormatPr defaultRowHeight="15" x14ac:dyDescent="0.25"/>
  <cols>
    <col min="1" max="1" width="12.5703125" customWidth="1"/>
    <col min="2" max="2" width="14" customWidth="1"/>
    <col min="3" max="3" width="14.7109375" customWidth="1"/>
  </cols>
  <sheetData>
    <row r="1" spans="1:3" ht="28.5" customHeight="1" thickTop="1" x14ac:dyDescent="0.25">
      <c r="A1" s="14" t="s">
        <v>0</v>
      </c>
      <c r="B1" s="15"/>
      <c r="C1" s="16"/>
    </row>
    <row r="2" spans="1:3" x14ac:dyDescent="0.25">
      <c r="A2" s="3" t="s">
        <v>1</v>
      </c>
      <c r="B2" s="4" t="s">
        <v>8</v>
      </c>
      <c r="C2" s="12" t="s">
        <v>13</v>
      </c>
    </row>
    <row r="3" spans="1:3" x14ac:dyDescent="0.25">
      <c r="A3" s="5" t="s">
        <v>2</v>
      </c>
      <c r="B3" s="6">
        <v>10</v>
      </c>
      <c r="C3" s="13" t="str">
        <f>IF(B3&lt;$B$10,"Rendelni kell","")</f>
        <v>Rendelni kell</v>
      </c>
    </row>
    <row r="4" spans="1:3" x14ac:dyDescent="0.25">
      <c r="A4" s="5" t="s">
        <v>3</v>
      </c>
      <c r="B4" s="6">
        <v>5</v>
      </c>
      <c r="C4" s="13" t="str">
        <f t="shared" ref="C4:C8" si="0">IF(B4&lt;$B$10,"Rendelni kell","")</f>
        <v>Rendelni kell</v>
      </c>
    </row>
    <row r="5" spans="1:3" x14ac:dyDescent="0.25">
      <c r="A5" s="5" t="s">
        <v>4</v>
      </c>
      <c r="B5" s="6">
        <v>1</v>
      </c>
      <c r="C5" s="13" t="str">
        <f>IF(B5&lt;$B$10,"Rendelni kell","")</f>
        <v>Rendelni kell</v>
      </c>
    </row>
    <row r="6" spans="1:3" x14ac:dyDescent="0.25">
      <c r="A6" s="5" t="s">
        <v>5</v>
      </c>
      <c r="B6" s="6">
        <v>20</v>
      </c>
      <c r="C6" s="13" t="str">
        <f>IF(B6&lt;$B$10,"Rendelni kell","")</f>
        <v/>
      </c>
    </row>
    <row r="7" spans="1:3" x14ac:dyDescent="0.25">
      <c r="A7" s="5" t="s">
        <v>6</v>
      </c>
      <c r="B7" s="6">
        <v>15</v>
      </c>
      <c r="C7" s="13" t="str">
        <f t="shared" ref="C7:C8" si="1">IF(B7&lt;$B$10,"Rendelni kell","")</f>
        <v/>
      </c>
    </row>
    <row r="8" spans="1:3" x14ac:dyDescent="0.25">
      <c r="A8" s="5" t="s">
        <v>7</v>
      </c>
      <c r="B8" s="6">
        <v>25</v>
      </c>
      <c r="C8" s="13" t="str">
        <f t="shared" si="1"/>
        <v/>
      </c>
    </row>
    <row r="9" spans="1:3" x14ac:dyDescent="0.25">
      <c r="A9" s="7" t="s">
        <v>9</v>
      </c>
      <c r="B9" s="9">
        <f>SUM(B3:B8)</f>
        <v>76</v>
      </c>
      <c r="C9" s="1"/>
    </row>
    <row r="10" spans="1:3" x14ac:dyDescent="0.25">
      <c r="A10" s="7" t="s">
        <v>10</v>
      </c>
      <c r="B10" s="10">
        <f>ROUND(AVERAGE(B3:B8),2)</f>
        <v>12.67</v>
      </c>
      <c r="C10" s="1"/>
    </row>
    <row r="11" spans="1:3" x14ac:dyDescent="0.25">
      <c r="A11" s="7" t="s">
        <v>11</v>
      </c>
      <c r="B11" s="9">
        <f>SMALL(B3:B8,1)</f>
        <v>1</v>
      </c>
      <c r="C11" s="1"/>
    </row>
    <row r="12" spans="1:3" ht="15.75" thickBot="1" x14ac:dyDescent="0.3">
      <c r="A12" s="8" t="s">
        <v>12</v>
      </c>
      <c r="B12" s="11">
        <f>LARGE(B3:B8,1)</f>
        <v>25</v>
      </c>
      <c r="C12" s="2"/>
    </row>
    <row r="13" spans="1:3" ht="15.75" thickTop="1" x14ac:dyDescent="0.25"/>
  </sheetData>
  <mergeCells count="1">
    <mergeCell ref="A1:C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Márton Attila</dc:creator>
  <cp:lastModifiedBy>Tulkán Csanád Tibor</cp:lastModifiedBy>
  <dcterms:created xsi:type="dcterms:W3CDTF">2025-09-19T11:37:10Z</dcterms:created>
  <dcterms:modified xsi:type="dcterms:W3CDTF">2026-09-30T08:06:16Z</dcterms:modified>
</cp:coreProperties>
</file>