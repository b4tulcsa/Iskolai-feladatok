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DA1D518B-617C-422E-856E-5D50246A591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D változ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1" l="1"/>
  <c r="G15" i="1"/>
  <c r="G14" i="1"/>
  <c r="G13" i="1"/>
  <c r="G7" i="1"/>
  <c r="G9" i="1"/>
  <c r="G12" i="1"/>
  <c r="G11" i="1"/>
  <c r="G10" i="1"/>
  <c r="G8" i="1"/>
  <c r="G6" i="1"/>
  <c r="G5" i="1"/>
</calcChain>
</file>

<file path=xl/sharedStrings.xml><?xml version="1.0" encoding="utf-8"?>
<sst xmlns="http://schemas.openxmlformats.org/spreadsheetml/2006/main" count="43" uniqueCount="37">
  <si>
    <t>D változat – Sportbolt</t>
  </si>
  <si>
    <t>A sárga cellákba írd be a megfelelő függvényt tartalmazó képletet. Minden feladat 2 pontot ér.</t>
  </si>
  <si>
    <t>Termék</t>
  </si>
  <si>
    <t>Kategória</t>
  </si>
  <si>
    <t>Eladott db</t>
  </si>
  <si>
    <t>Egységár (Ft)</t>
  </si>
  <si>
    <t>Feladat</t>
  </si>
  <si>
    <t>Eredmény</t>
  </si>
  <si>
    <t>Gumilabda</t>
  </si>
  <si>
    <t>labda</t>
  </si>
  <si>
    <t>Felsorolt termékek száma</t>
  </si>
  <si>
    <t>Ugrókötél</t>
  </si>
  <si>
    <t>kiegészítő</t>
  </si>
  <si>
    <t>Számmal megadott eladási darabszámok száma</t>
  </si>
  <si>
    <t>Focilabda</t>
  </si>
  <si>
    <t>Hiányzó eladási darabszámok száma</t>
  </si>
  <si>
    <t>Kulacs</t>
  </si>
  <si>
    <t>Kitöltött kategóriacellák száma</t>
  </si>
  <si>
    <t>Sportzokni</t>
  </si>
  <si>
    <t>ruházat</t>
  </si>
  <si>
    <t>Üres kategóriacellák száma</t>
  </si>
  <si>
    <t>Kosárlabda</t>
  </si>
  <si>
    <t>A labda kategóriájú termékek száma</t>
  </si>
  <si>
    <t>Fejpánt</t>
  </si>
  <si>
    <t>Az egységárak összege (Ft)</t>
  </si>
  <si>
    <t>Röplabda</t>
  </si>
  <si>
    <t>A labdák egységárainak összege (Ft)</t>
  </si>
  <si>
    <t>Síp</t>
  </si>
  <si>
    <t>A 3000 Ft-nál drágább termékek egységárainak összege (Ft)</t>
  </si>
  <si>
    <t>Póló</t>
  </si>
  <si>
    <t>A legkisebb egységár (Ft)</t>
  </si>
  <si>
    <t>A legnagyobb egységár (Ft)</t>
  </si>
  <si>
    <t>Az egységárak átlaga (Ft)</t>
  </si>
  <si>
    <t>Összesen: 24 pont.</t>
  </si>
  <si>
    <t>Az egységárakat összegezd, ne az eladások árbevételét számítsd ki.</t>
  </si>
  <si>
    <t>A „drágább” feltétel 3000 Ft feletti egységárat jelent.</t>
  </si>
  <si>
    <t>Az árakat és az árakból számolt eredményeket egész forintban jelenítsd meg.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</si>
</sst>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Ft&quot;"/>
    <numFmt numFmtId="165" formatCode="General\ &quot;db&quot;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9F5"/>
      </patternFill>
    </fill>
    <fill>
      <patternFill patternType="solid">
        <fgColor rgb="FFF1F6FC"/>
      </patternFill>
    </fill>
    <fill>
      <patternFill patternType="solid">
        <fgColor rgb="FFFFF0B3"/>
      </patternFill>
    </fill>
  </fills>
  <borders count="2">
    <border>
      <left/>
      <right/>
      <top/>
      <bottom/>
      <diagonal/>
    </border>
    <border>
      <left style="thin">
        <color rgb="FFCFD8E2"/>
      </left>
      <right style="thin">
        <color rgb="FFCFD8E2"/>
      </right>
      <top style="thin">
        <color rgb="FFCFD8E2"/>
      </top>
      <bottom style="thin">
        <color rgb="FFCFD8E2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2" borderId="0" xfId="1" applyFont="1" applyFill="1"/>
    <xf numFmtId="0" fontId="2" fillId="3" borderId="0" xfId="1" applyFont="1" applyFill="1"/>
    <xf numFmtId="0" fontId="2" fillId="3" borderId="1" xfId="1" applyFont="1" applyFill="1" applyBorder="1"/>
    <xf numFmtId="0" fontId="0" fillId="0" borderId="1" xfId="1" applyFont="1" applyBorder="1"/>
    <xf numFmtId="0" fontId="0" fillId="5" borderId="1" xfId="1" applyFont="1" applyFill="1" applyBorder="1"/>
    <xf numFmtId="164" fontId="0" fillId="0" borderId="1" xfId="1" applyNumberFormat="1" applyFont="1" applyBorder="1"/>
    <xf numFmtId="164" fontId="0" fillId="5" borderId="1" xfId="1" applyNumberFormat="1" applyFont="1" applyFill="1" applyBorder="1"/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165" fontId="0" fillId="4" borderId="1" xfId="1" applyNumberFormat="1" applyFont="1" applyFill="1" applyBorder="1"/>
  </cellXfs>
  <cellStyles count="2">
    <cellStyle name="Normal" xfId="1" xr:uid="{00000000-0005-0000-0000-000000000000}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 változat'!$A$5:$A$14</c:f>
              <c:strCache>
                <c:ptCount val="10"/>
                <c:pt idx="0">
                  <c:v>Gumilabda</c:v>
                </c:pt>
                <c:pt idx="1">
                  <c:v>Ugrókötél</c:v>
                </c:pt>
                <c:pt idx="2">
                  <c:v>Focilabda</c:v>
                </c:pt>
                <c:pt idx="3">
                  <c:v>Kulacs</c:v>
                </c:pt>
                <c:pt idx="4">
                  <c:v>Sportzokni</c:v>
                </c:pt>
                <c:pt idx="5">
                  <c:v>Kosárlabda</c:v>
                </c:pt>
                <c:pt idx="6">
                  <c:v>Fejpánt</c:v>
                </c:pt>
                <c:pt idx="7">
                  <c:v>Röplabda</c:v>
                </c:pt>
                <c:pt idx="8">
                  <c:v>Síp</c:v>
                </c:pt>
                <c:pt idx="9">
                  <c:v>Póló</c:v>
                </c:pt>
              </c:strCache>
            </c:strRef>
          </c:cat>
          <c:val>
            <c:numRef>
              <c:f>'D változat'!$D$5:$D$14</c:f>
              <c:numCache>
                <c:formatCode>#\ ##0\ "Ft"</c:formatCode>
                <c:ptCount val="10"/>
                <c:pt idx="0">
                  <c:v>2500</c:v>
                </c:pt>
                <c:pt idx="1">
                  <c:v>1200</c:v>
                </c:pt>
                <c:pt idx="2">
                  <c:v>4500</c:v>
                </c:pt>
                <c:pt idx="3">
                  <c:v>3000</c:v>
                </c:pt>
                <c:pt idx="4">
                  <c:v>1800</c:v>
                </c:pt>
                <c:pt idx="5">
                  <c:v>3200</c:v>
                </c:pt>
                <c:pt idx="6">
                  <c:v>900</c:v>
                </c:pt>
                <c:pt idx="7">
                  <c:v>5500</c:v>
                </c:pt>
                <c:pt idx="8">
                  <c:v>1500</c:v>
                </c:pt>
                <c:pt idx="9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E-4477-B859-BC8C2B98B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8741743"/>
        <c:axId val="298840607"/>
      </c:barChart>
      <c:catAx>
        <c:axId val="29874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98840607"/>
        <c:crosses val="autoZero"/>
        <c:auto val="1"/>
        <c:lblAlgn val="ctr"/>
        <c:lblOffset val="100"/>
        <c:noMultiLvlLbl val="0"/>
      </c:catAx>
      <c:valAx>
        <c:axId val="29884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Ft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9874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223837</xdr:colOff>
      <xdr:row>17</xdr:row>
      <xdr:rowOff>128587</xdr:rowOff>
    </xdr:from>
    <xdr:to>
      <xdr:col>11</xdr:col>
      <xdr:colOff>604837</xdr:colOff>
      <xdr:row>30</xdr:row>
      <xdr:rowOff>4762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03D6709-480E-4788-9B37-8A048D4ED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pane ySplit="4" topLeftCell="A5" activePane="bottomLeft" state="frozen"/>
      <selection pane="bottomLeft" activeCell="A6" sqref="A6"/>
    </sheetView>
  </sheetViews>
  <sheetFormatPr defaultRowHeight="14.25"/>
  <cols>
    <col min="1" max="1" width="27" customWidth="1"/>
    <col min="2" max="2" width="18" customWidth="1"/>
    <col min="3" max="4" width="17" customWidth="1"/>
    <col min="5" max="5" width="3" customWidth="1"/>
    <col min="6" max="6" width="63" customWidth="1"/>
    <col min="7" max="7" width="19" customWidth="1"/>
  </cols>
  <sheetData>
    <row r="1" spans="1:7" ht="30.95" customHeight="1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</row>
    <row r="4" spans="1:7" ht="15">
      <c r="A4" s="3" t="s">
        <v>2</v>
      </c>
      <c r="B4" s="3" t="s">
        <v>3</v>
      </c>
      <c r="C4" s="3" t="s">
        <v>4</v>
      </c>
      <c r="D4" s="3" t="s">
        <v>5</v>
      </c>
      <c r="F4" s="2" t="s">
        <v>6</v>
      </c>
      <c r="G4" s="2" t="s">
        <v>7</v>
      </c>
    </row>
    <row r="5" spans="1:7">
      <c r="A5" s="4" t="s">
        <v>8</v>
      </c>
      <c r="B5" s="4" t="s">
        <v>9</v>
      </c>
      <c r="C5" s="10">
        <v>14</v>
      </c>
      <c r="D5" s="6">
        <v>2500</v>
      </c>
      <c r="F5" s="4" t="s">
        <v>10</v>
      </c>
      <c r="G5" s="5">
        <f>COUNTA(A5:A14)</f>
        <v>10</v>
      </c>
    </row>
    <row r="6" spans="1:7">
      <c r="A6" s="4" t="s">
        <v>11</v>
      </c>
      <c r="B6" s="4" t="s">
        <v>12</v>
      </c>
      <c r="C6" s="10">
        <v>25</v>
      </c>
      <c r="D6" s="6">
        <v>1200</v>
      </c>
      <c r="F6" s="4" t="s">
        <v>13</v>
      </c>
      <c r="G6" s="5">
        <f>COUNT(C5:C14)</f>
        <v>9</v>
      </c>
    </row>
    <row r="7" spans="1:7">
      <c r="A7" s="4" t="s">
        <v>14</v>
      </c>
      <c r="B7" s="4" t="s">
        <v>9</v>
      </c>
      <c r="C7" s="10">
        <v>18</v>
      </c>
      <c r="D7" s="6">
        <v>4500</v>
      </c>
      <c r="F7" s="4" t="s">
        <v>15</v>
      </c>
      <c r="G7" s="5">
        <f>COUNTBLANK(C5:C14)</f>
        <v>1</v>
      </c>
    </row>
    <row r="8" spans="1:7">
      <c r="A8" s="4" t="s">
        <v>16</v>
      </c>
      <c r="B8" s="4" t="s">
        <v>12</v>
      </c>
      <c r="C8" s="10">
        <v>9</v>
      </c>
      <c r="D8" s="6">
        <v>3000</v>
      </c>
      <c r="F8" s="4" t="s">
        <v>17</v>
      </c>
      <c r="G8" s="5">
        <f>COUNTA(B5:B14)</f>
        <v>9</v>
      </c>
    </row>
    <row r="9" spans="1:7">
      <c r="A9" s="4" t="s">
        <v>18</v>
      </c>
      <c r="B9" s="4" t="s">
        <v>19</v>
      </c>
      <c r="C9" s="10">
        <v>16</v>
      </c>
      <c r="D9" s="6">
        <v>1800</v>
      </c>
      <c r="F9" s="4" t="s">
        <v>20</v>
      </c>
      <c r="G9" s="5">
        <f>COUNTBLANK(B5:B14)</f>
        <v>1</v>
      </c>
    </row>
    <row r="10" spans="1:7">
      <c r="A10" s="4" t="s">
        <v>21</v>
      </c>
      <c r="B10" s="4" t="s">
        <v>9</v>
      </c>
      <c r="C10" s="10"/>
      <c r="D10" s="6">
        <v>3200</v>
      </c>
      <c r="F10" s="4" t="s">
        <v>22</v>
      </c>
      <c r="G10" s="5">
        <f>COUNTIF(B5:B14,"labda")</f>
        <v>4</v>
      </c>
    </row>
    <row r="11" spans="1:7">
      <c r="A11" s="4" t="s">
        <v>23</v>
      </c>
      <c r="B11" s="4" t="s">
        <v>19</v>
      </c>
      <c r="C11" s="10">
        <v>21</v>
      </c>
      <c r="D11" s="6">
        <v>900</v>
      </c>
      <c r="F11" s="4" t="s">
        <v>24</v>
      </c>
      <c r="G11" s="7">
        <f>SUM(D5:D14)</f>
        <v>26300</v>
      </c>
    </row>
    <row r="12" spans="1:7">
      <c r="A12" s="4" t="s">
        <v>25</v>
      </c>
      <c r="B12" s="4" t="s">
        <v>9</v>
      </c>
      <c r="C12" s="10">
        <v>8</v>
      </c>
      <c r="D12" s="6">
        <v>5500</v>
      </c>
      <c r="F12" s="4" t="s">
        <v>26</v>
      </c>
      <c r="G12" s="7">
        <f>SUMIF(B5:B14,"labda",D5:D14)</f>
        <v>15700</v>
      </c>
    </row>
    <row r="13" spans="1:7">
      <c r="A13" s="4" t="s">
        <v>27</v>
      </c>
      <c r="B13" s="4"/>
      <c r="C13" s="10">
        <v>11</v>
      </c>
      <c r="D13" s="6">
        <v>1500</v>
      </c>
      <c r="F13" s="4" t="s">
        <v>28</v>
      </c>
      <c r="G13" s="7">
        <f>SUMIF(D5:D14,"&gt;3000",D5:D14)</f>
        <v>13200</v>
      </c>
    </row>
    <row r="14" spans="1:7">
      <c r="A14" s="4" t="s">
        <v>29</v>
      </c>
      <c r="B14" s="4" t="s">
        <v>19</v>
      </c>
      <c r="C14" s="10">
        <v>6</v>
      </c>
      <c r="D14" s="6">
        <v>2200</v>
      </c>
      <c r="F14" s="4" t="s">
        <v>30</v>
      </c>
      <c r="G14" s="7">
        <f>MIN(D5:D14)</f>
        <v>900</v>
      </c>
    </row>
    <row r="15" spans="1:7">
      <c r="F15" s="4" t="s">
        <v>31</v>
      </c>
      <c r="G15" s="7">
        <f>MAX(D5:D14)</f>
        <v>5500</v>
      </c>
    </row>
    <row r="16" spans="1:7">
      <c r="F16" s="4" t="s">
        <v>32</v>
      </c>
      <c r="G16" s="7">
        <f>AVERAGE(D5:D14)</f>
        <v>2630</v>
      </c>
    </row>
    <row r="18" spans="1:7" ht="27.95" customHeight="1">
      <c r="A18" s="8" t="s">
        <v>33</v>
      </c>
      <c r="B18" s="8"/>
      <c r="C18" s="8"/>
      <c r="D18" s="8"/>
      <c r="E18" s="8"/>
      <c r="F18" s="8" t="s">
        <v>34</v>
      </c>
      <c r="G18" s="9"/>
    </row>
    <row r="19" spans="1:7" ht="27.95" customHeight="1">
      <c r="A19" s="8"/>
      <c r="B19" s="8"/>
      <c r="C19" s="8"/>
      <c r="D19" s="8"/>
      <c r="E19" s="8"/>
      <c r="F19" s="8" t="s">
        <v>35</v>
      </c>
      <c r="G19" s="8"/>
    </row>
    <row r="20" spans="1:7" ht="27.95" customHeight="1">
      <c r="A20" s="8"/>
      <c r="B20" s="8"/>
      <c r="C20" s="8"/>
      <c r="D20" s="8"/>
      <c r="E20" s="8"/>
      <c r="F20" s="8" t="s">
        <v>36</v>
      </c>
      <c r="G20" s="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 változat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Márton Attila</dc:creator>
  <cp:lastModifiedBy>Tulkán Csanád Tibor</cp:lastModifiedBy>
  <dcterms:created xsi:type="dcterms:W3CDTF">2026-10-01T10:52:07Z</dcterms:created>
  <dcterms:modified xsi:type="dcterms:W3CDTF">2026-10-14T08:08:19Z</dcterms:modified>
</cp:coreProperties>
</file>