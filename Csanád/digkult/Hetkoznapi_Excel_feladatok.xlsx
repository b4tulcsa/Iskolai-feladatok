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2B3FA8F9-BD0E-48B8-A71A-3FD44A050750}" xr6:coauthVersionLast="36" xr6:coauthVersionMax="47" xr10:uidLastSave="{00000000-0000-0000-0000-000000000000}"/>
  <bookViews>
    <workbookView xWindow="0" yWindow="0" windowWidth="28800" windowHeight="12225" activeTab="3" xr2:uid="{00000000-000D-0000-FFFF-FFFF00000000}"/>
  </bookViews>
  <sheets>
    <sheet name="1 Bevásárlás" sheetId="2" r:id="rId1"/>
    <sheet name="2 Zsebpénz" sheetId="3" r:id="rId2"/>
    <sheet name="3 Könyvtár" sheetId="4" r:id="rId3"/>
    <sheet name="4 Iskolai büfé" sheetId="5" r:id="rId4"/>
  </sheets>
  <calcPr calcId="191029"/>
</workbook>
</file>

<file path=xl/calcChain.xml><?xml version="1.0" encoding="utf-8"?>
<calcChain xmlns="http://schemas.openxmlformats.org/spreadsheetml/2006/main">
  <c r="F10" i="4" l="1"/>
  <c r="F9" i="4"/>
  <c r="F8" i="4"/>
  <c r="F7" i="4"/>
  <c r="F6" i="4"/>
  <c r="F5" i="4"/>
  <c r="G5" i="3"/>
  <c r="C13" i="3"/>
  <c r="D13" i="3"/>
  <c r="C14" i="3"/>
  <c r="D14" i="3"/>
  <c r="C15" i="3"/>
  <c r="D15" i="3"/>
  <c r="E15" i="3"/>
  <c r="E14" i="3"/>
  <c r="E13" i="3"/>
  <c r="C12" i="3"/>
  <c r="D12" i="3"/>
  <c r="E12" i="3"/>
  <c r="E6" i="3"/>
  <c r="B7" i="3" s="1"/>
  <c r="E7" i="3" s="1"/>
  <c r="B8" i="3" s="1"/>
  <c r="E8" i="3" s="1"/>
  <c r="B9" i="3" s="1"/>
  <c r="E9" i="3" s="1"/>
  <c r="B10" i="3" s="1"/>
  <c r="E10" i="3" s="1"/>
  <c r="B6" i="3"/>
  <c r="E5" i="3"/>
  <c r="E12" i="5"/>
  <c r="E6" i="5"/>
  <c r="E7" i="5"/>
  <c r="E8" i="5"/>
  <c r="E9" i="5"/>
  <c r="E10" i="5"/>
  <c r="E5" i="5"/>
  <c r="F5" i="5"/>
  <c r="D15" i="5"/>
  <c r="D14" i="5"/>
  <c r="D13" i="5"/>
  <c r="D12" i="5"/>
  <c r="F8" i="2"/>
  <c r="F7" i="2"/>
  <c r="F6" i="2"/>
  <c r="D15" i="2"/>
  <c r="D14" i="2"/>
  <c r="D13" i="2"/>
  <c r="D12" i="2"/>
  <c r="D6" i="2"/>
  <c r="D7" i="2"/>
  <c r="D8" i="2"/>
  <c r="D9" i="2"/>
  <c r="D10" i="2"/>
  <c r="D5" i="2"/>
  <c r="D6" i="5"/>
  <c r="D7" i="5"/>
  <c r="D8" i="5"/>
  <c r="D9" i="5"/>
  <c r="D10" i="5"/>
  <c r="D5" i="5"/>
</calcChain>
</file>

<file path=xl/sharedStrings.xml><?xml version="1.0" encoding="utf-8"?>
<sst xmlns="http://schemas.openxmlformats.org/spreadsheetml/2006/main" count="120" uniqueCount="105">
  <si>
    <t>1. feladat – Heti bevásárlás</t>
  </si>
  <si>
    <t>2. feladat – Egy heti zsebpénz</t>
  </si>
  <si>
    <t>3. feladat – Könyvtári kölcsönzések</t>
  </si>
  <si>
    <t>4. feladat – Iskolai büfé eladásai</t>
  </si>
  <si>
    <t>Írd be a képleteket a jelölt, világoskék cellákba. A megadott adatok sötét színűek.</t>
  </si>
  <si>
    <t>Termék</t>
  </si>
  <si>
    <t>Egységár (Ft)</t>
  </si>
  <si>
    <t>Mennyiség</t>
  </si>
  <si>
    <t>Fizetendő (Ft)</t>
  </si>
  <si>
    <t>Kedvezmény</t>
  </si>
  <si>
    <t>Kenyér</t>
  </si>
  <si>
    <t>Tej</t>
  </si>
  <si>
    <t>Alma (kg)</t>
  </si>
  <si>
    <t>Sajt</t>
  </si>
  <si>
    <t>Tészta</t>
  </si>
  <si>
    <t>Tojás (doboz)</t>
  </si>
  <si>
    <t>Összesen</t>
  </si>
  <si>
    <t>Átlag</t>
  </si>
  <si>
    <t>Minimum</t>
  </si>
  <si>
    <t>Maximum</t>
  </si>
  <si>
    <t>FELADATOK</t>
  </si>
  <si>
    <t>1. Számítsd ki a termékenként fizetendő összeget szorzással. (D5:D10)</t>
  </si>
  <si>
    <t>2. Számítsd ki a vásárlás végösszegét a SZUM függvénnyel. (D12)</t>
  </si>
  <si>
    <t>3. Számítsd ki a fizetendő összegek átlagát az ÁTLAG függvénnyel. (D13)</t>
  </si>
  <si>
    <t>4. Határozd meg a legkisebb és a legnagyobb termékenkénti összeget (MIN, MAX). (D14:D15)</t>
  </si>
  <si>
    <t>5. Írj be 10%-os kedvezményt, majd F6-ban számítsd ki a kedvezmény összegét és F7-ben a kedvezményes végösszeget. (F5)</t>
  </si>
  <si>
    <t>6. Kerekítsd a kedvezményes végösszeget a legközelebbi 100 Ft-ra a KEREKÍTÉS függvénnyel. (F8)</t>
  </si>
  <si>
    <t>7. Állíts be forint pénznemformátumot. (B5:B10, D5:D15, F6:F8)</t>
  </si>
  <si>
    <t>Nap</t>
  </si>
  <si>
    <t>Nyitó összeg (Ft)</t>
  </si>
  <si>
    <t>Bevétel (Ft)</t>
  </si>
  <si>
    <t>Kiadás (Ft)</t>
  </si>
  <si>
    <t>Záró összeg (Ft)</t>
  </si>
  <si>
    <t>Kiadásos napok</t>
  </si>
  <si>
    <t>Hétfő</t>
  </si>
  <si>
    <t>Kedd</t>
  </si>
  <si>
    <t>Szerda</t>
  </si>
  <si>
    <t>Csütörtök</t>
  </si>
  <si>
    <t>Péntek</t>
  </si>
  <si>
    <t>Szombat</t>
  </si>
  <si>
    <t>1. A záró összeg: nyitó összeg + bevétel − kiadás. (E5:E10)</t>
  </si>
  <si>
    <t>2. Minden következő nap nyitó összege az előző nap záró összege. (B6:B10)</t>
  </si>
  <si>
    <t>3. Számítsd ki a heti bevételek és kiadások összegét (SZUM). (C12:D12)</t>
  </si>
  <si>
    <t>4. Számítsd ki a napi kiadások átlagát (ÁTLAG). (D13)</t>
  </si>
  <si>
    <t>5. Keresd meg a legkisebb és legnagyobb napi kiadást (MIN, MAX). (D14:D15)</t>
  </si>
  <si>
    <t>7. Állíts be forint pénznemformátumot. (B5:E15)</t>
  </si>
  <si>
    <t>Olvasó</t>
  </si>
  <si>
    <t>Kikölcsönzött könyvek</t>
  </si>
  <si>
    <t>Visszahozta?</t>
  </si>
  <si>
    <t>Megjegyzés</t>
  </si>
  <si>
    <t>Statisztika</t>
  </si>
  <si>
    <t>Eredmény</t>
  </si>
  <si>
    <t>Anna</t>
  </si>
  <si>
    <t>igen</t>
  </si>
  <si>
    <t>Számos cellák</t>
  </si>
  <si>
    <t>Bence</t>
  </si>
  <si>
    <t>nem</t>
  </si>
  <si>
    <t>késik</t>
  </si>
  <si>
    <t>Olvasók száma</t>
  </si>
  <si>
    <t>Csilla</t>
  </si>
  <si>
    <t>Üres könyvmezők</t>
  </si>
  <si>
    <t>Dávid</t>
  </si>
  <si>
    <t>még nem kölcsönzött</t>
  </si>
  <si>
    <t>Pontosan 2 könyv</t>
  </si>
  <si>
    <t>Eszter</t>
  </si>
  <si>
    <t>Legalább 2 és igen</t>
  </si>
  <si>
    <t>Fanni</t>
  </si>
  <si>
    <t>Összes könyv</t>
  </si>
  <si>
    <t>Gábor</t>
  </si>
  <si>
    <t>Hanna</t>
  </si>
  <si>
    <t>1. DARAB: hány számmal kitöltött cella van a könyvek oszlopában? A 0 is szám. (F5)</t>
  </si>
  <si>
    <t>2. DARAB2: hány kitöltött olvasónév szerepel? (F6)</t>
  </si>
  <si>
    <t>3. DARABÜRES: hány üres cella van a könyvek oszlopában? (F7)</t>
  </si>
  <si>
    <t>4. DARABTELI: hány olvasó kölcsönzött pontosan 2 könyvet? (F8)</t>
  </si>
  <si>
    <t>5. DARABHATÖBB: hány sorban szerepel legalább 2 könyv és „igen” visszahozás? (F9)</t>
  </si>
  <si>
    <t>6. SZUM: összesen hány könyvet kölcsönöztek? (F10)</t>
  </si>
  <si>
    <t>Eladott db</t>
  </si>
  <si>
    <t>Részesedés</t>
  </si>
  <si>
    <t>Szendvics</t>
  </si>
  <si>
    <t>Gyümölcslé</t>
  </si>
  <si>
    <t>Péksütemény</t>
  </si>
  <si>
    <t>Alma</t>
  </si>
  <si>
    <t>Ásványvíz</t>
  </si>
  <si>
    <t>Joghurt</t>
  </si>
  <si>
    <t>1. Számítsd ki minden termék bevételét szorzással. (D5:D10)</t>
  </si>
  <si>
    <t>2. SZUM: összes eladott darab és teljes bevétel. (B12 és D12)</t>
  </si>
  <si>
    <t>3. Számítsd ki, az egyes termékek bevétele hány százaléka a teljes bevételnek. Használj abszolút hivatkozást. (E5:E10)</t>
  </si>
  <si>
    <t>4. Ellenőrizd, hogy a százalékok összege 100%. (E12)</t>
  </si>
  <si>
    <t>5. ÁTLAG, MIN, MAX: a termékenkénti bevételekre. (D13:D15)</t>
  </si>
  <si>
    <t>7. Állíts be forint pénznemformátumot; E5:E12 legyen százalék egy tizedessel. (C5:D15)</t>
  </si>
  <si>
    <t>Kedvezmény (Ft):</t>
  </si>
  <si>
    <t>Fizetendő (Ft):</t>
  </si>
  <si>
    <t>Kerekítve (Ft):</t>
  </si>
  <si>
    <t>Összesen:</t>
  </si>
  <si>
    <t>Átlag:</t>
  </si>
  <si>
    <t>Minimum:</t>
  </si>
  <si>
    <t>Maximum:</t>
  </si>
  <si>
    <t>Írd be a képleteket a jelölt, világoskék cellákba!</t>
  </si>
  <si>
    <t>Heti összesen:</t>
  </si>
  <si>
    <t>Átlagos kiadás:</t>
  </si>
  <si>
    <t>Legkisebb kiadás:</t>
  </si>
  <si>
    <t>Legnagyobb kiadás:</t>
  </si>
  <si>
    <t>6. Számítsd ki, hány nap volt kiadás: DARABTELI a pozitív kiadásokra. (G5)</t>
  </si>
  <si>
    <t>Legalább 20 db</t>
  </si>
  <si>
    <t>6. DARABHATÖBB: hány termékből adtak el legalább 20 darabot. (F5)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</si>
</sst>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0.0%"/>
  </numFmts>
  <fonts count="5">
    <font>
      <sz val="11"/>
      <name val="Carlito"/>
    </font>
    <font>
      <sz val="11"/>
      <color rgb="FF17233C"/>
      <name val="Aptos"/>
    </font>
    <font>
      <b/>
      <sz val="17"/>
      <color rgb="FFFFFFFF"/>
      <name val="Aptos Display"/>
    </font>
    <font>
      <b/>
      <sz val="11"/>
      <color rgb="FFFFFFFF"/>
      <name val="Aptos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37A80"/>
      </patternFill>
    </fill>
    <fill>
      <patternFill patternType="solid">
        <fgColor rgb="FFE4F4FA"/>
      </patternFill>
    </fill>
    <fill>
      <patternFill patternType="solid">
        <fgColor rgb="FF237A8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5DFE5"/>
      </left>
      <right style="thin">
        <color rgb="FFD5DFE5"/>
      </right>
      <top style="thin">
        <color rgb="FFD5DFE5"/>
      </top>
      <bottom style="thin">
        <color rgb="FFD5DFE5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" fillId="0" borderId="1" xfId="1" applyFont="1" applyBorder="1" applyAlignment="1">
      <alignment vertical="center"/>
    </xf>
    <xf numFmtId="164" fontId="1" fillId="4" borderId="1" xfId="1" applyNumberFormat="1" applyFont="1" applyFill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9" fontId="1" fillId="4" borderId="1" xfId="1" applyNumberFormat="1" applyFont="1" applyFill="1" applyBorder="1" applyAlignment="1">
      <alignment vertical="center"/>
    </xf>
    <xf numFmtId="0" fontId="1" fillId="0" borderId="1" xfId="1" applyFont="1" applyBorder="1" applyAlignment="1">
      <alignment horizontal="right" vertical="center"/>
    </xf>
    <xf numFmtId="164" fontId="1" fillId="0" borderId="1" xfId="1" applyNumberFormat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4" borderId="1" xfId="1" applyFont="1" applyFill="1" applyBorder="1" applyAlignment="1">
      <alignment vertical="center"/>
    </xf>
    <xf numFmtId="164" fontId="1" fillId="4" borderId="1" xfId="1" applyNumberFormat="1" applyFont="1" applyFill="1" applyBorder="1" applyAlignment="1">
      <alignment horizontal="right" vertical="center"/>
    </xf>
    <xf numFmtId="0" fontId="2" fillId="5" borderId="0" xfId="1" applyFont="1" applyFill="1" applyAlignment="1">
      <alignment vertical="center"/>
    </xf>
    <xf numFmtId="0" fontId="2" fillId="6" borderId="0" xfId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2" fillId="7" borderId="0" xfId="1" applyFont="1" applyFill="1" applyAlignment="1">
      <alignment vertical="center"/>
    </xf>
    <xf numFmtId="0" fontId="2" fillId="7" borderId="0" xfId="1" applyFont="1" applyFill="1" applyAlignment="1">
      <alignment horizontal="center" vertical="center"/>
    </xf>
    <xf numFmtId="165" fontId="1" fillId="4" borderId="1" xfId="1" applyNumberFormat="1" applyFont="1" applyFill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164" fontId="1" fillId="0" borderId="1" xfId="1" applyNumberFormat="1" applyFont="1" applyFill="1" applyBorder="1" applyAlignment="1">
      <alignment horizontal="right" vertical="center"/>
    </xf>
    <xf numFmtId="0" fontId="1" fillId="0" borderId="0" xfId="1" applyFont="1" applyAlignment="1">
      <alignment horizontal="left" vertical="center" wrapText="1"/>
    </xf>
    <xf numFmtId="9" fontId="1" fillId="8" borderId="1" xfId="2" applyFont="1" applyFill="1" applyBorder="1" applyAlignment="1">
      <alignment vertical="center"/>
    </xf>
  </cellXfs>
  <cellStyles count="3">
    <cellStyle name="Normal" xfId="1" xr:uid="{00000000-0005-0000-0000-000000000000}"/>
    <cellStyle name="Normál" xfId="0" builtinId="0"/>
    <cellStyle name="Százalék" xfId="2" builtinId="5"/>
  </cellStyles>
  <dxfs count="0"/>
  <tableStyles count="0" defaultTableStyle="TableStyleMedium2" defaultPivotStyle="PivotStyleLight16"/>
  <colors>
    <mruColors>
      <color rgb="FF237A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 Bevásárlás'!$C$4</c:f>
              <c:strCache>
                <c:ptCount val="1"/>
                <c:pt idx="0">
                  <c:v>Mennyiség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Bevásárlás'!$A$5:$A$10</c:f>
              <c:strCache>
                <c:ptCount val="6"/>
                <c:pt idx="0">
                  <c:v>Kenyér</c:v>
                </c:pt>
                <c:pt idx="1">
                  <c:v>Tej</c:v>
                </c:pt>
                <c:pt idx="2">
                  <c:v>Alma (kg)</c:v>
                </c:pt>
                <c:pt idx="3">
                  <c:v>Sajt</c:v>
                </c:pt>
                <c:pt idx="4">
                  <c:v>Tészta</c:v>
                </c:pt>
                <c:pt idx="5">
                  <c:v>Tojás (doboz)</c:v>
                </c:pt>
              </c:strCache>
            </c:strRef>
          </c:cat>
          <c:val>
            <c:numRef>
              <c:f>'1 Bevásárlás'!$C$5:$C$10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B-4E3C-99B6-8A204392BADF}"/>
            </c:ext>
          </c:extLst>
        </c:ser>
        <c:ser>
          <c:idx val="1"/>
          <c:order val="1"/>
          <c:tx>
            <c:strRef>
              <c:f>'1 Bevásárlás'!$D$4</c:f>
              <c:strCache>
                <c:ptCount val="1"/>
                <c:pt idx="0">
                  <c:v>Fizetendő (Ft)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 Bevásárlás'!$A$5:$A$10</c:f>
              <c:strCache>
                <c:ptCount val="6"/>
                <c:pt idx="0">
                  <c:v>Kenyér</c:v>
                </c:pt>
                <c:pt idx="1">
                  <c:v>Tej</c:v>
                </c:pt>
                <c:pt idx="2">
                  <c:v>Alma (kg)</c:v>
                </c:pt>
                <c:pt idx="3">
                  <c:v>Sajt</c:v>
                </c:pt>
                <c:pt idx="4">
                  <c:v>Tészta</c:v>
                </c:pt>
                <c:pt idx="5">
                  <c:v>Tojás (doboz)</c:v>
                </c:pt>
              </c:strCache>
            </c:strRef>
          </c:cat>
          <c:val>
            <c:numRef>
              <c:f>'1 Bevásárlás'!$D$5:$D$10</c:f>
              <c:numCache>
                <c:formatCode>#\ ##0\ "Ft"</c:formatCode>
                <c:ptCount val="6"/>
                <c:pt idx="0">
                  <c:v>1580</c:v>
                </c:pt>
                <c:pt idx="1">
                  <c:v>1560</c:v>
                </c:pt>
                <c:pt idx="2">
                  <c:v>1360</c:v>
                </c:pt>
                <c:pt idx="3">
                  <c:v>1890</c:v>
                </c:pt>
                <c:pt idx="4">
                  <c:v>2160</c:v>
                </c:pt>
                <c:pt idx="5">
                  <c:v>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B-4E3C-99B6-8A204392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467071"/>
        <c:axId val="401973439"/>
      </c:barChart>
      <c:catAx>
        <c:axId val="4314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1973439"/>
        <c:crosses val="autoZero"/>
        <c:auto val="1"/>
        <c:lblAlgn val="ctr"/>
        <c:lblOffset val="100"/>
        <c:noMultiLvlLbl val="0"/>
      </c:catAx>
      <c:valAx>
        <c:axId val="4019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314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 Zsebpénz'!$A$5:$A$10</c:f>
              <c:strCache>
                <c:ptCount val="6"/>
                <c:pt idx="0">
                  <c:v>Hétfő</c:v>
                </c:pt>
                <c:pt idx="1">
                  <c:v>Kedd</c:v>
                </c:pt>
                <c:pt idx="2">
                  <c:v>Szerda</c:v>
                </c:pt>
                <c:pt idx="3">
                  <c:v>Csütörtök</c:v>
                </c:pt>
                <c:pt idx="4">
                  <c:v>Péntek</c:v>
                </c:pt>
                <c:pt idx="5">
                  <c:v>Szombat</c:v>
                </c:pt>
              </c:strCache>
            </c:strRef>
          </c:cat>
          <c:val>
            <c:numRef>
              <c:f>'2 Zsebpénz'!$E$5:$E$10</c:f>
              <c:numCache>
                <c:formatCode>#\ ##0\ "Ft"</c:formatCode>
                <c:ptCount val="6"/>
                <c:pt idx="0">
                  <c:v>6150</c:v>
                </c:pt>
                <c:pt idx="1">
                  <c:v>4900</c:v>
                </c:pt>
                <c:pt idx="2">
                  <c:v>5710</c:v>
                </c:pt>
                <c:pt idx="3">
                  <c:v>3920</c:v>
                </c:pt>
                <c:pt idx="4">
                  <c:v>2720</c:v>
                </c:pt>
                <c:pt idx="5">
                  <c:v>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4-4EF2-A660-7A574D96A6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Könyvtár'!$A$5:$A$12</c:f>
              <c:strCache>
                <c:ptCount val="8"/>
                <c:pt idx="0">
                  <c:v>Anna</c:v>
                </c:pt>
                <c:pt idx="1">
                  <c:v>Bence</c:v>
                </c:pt>
                <c:pt idx="2">
                  <c:v>Csilla</c:v>
                </c:pt>
                <c:pt idx="3">
                  <c:v>Dávid</c:v>
                </c:pt>
                <c:pt idx="4">
                  <c:v>Eszter</c:v>
                </c:pt>
                <c:pt idx="5">
                  <c:v>Fanni</c:v>
                </c:pt>
                <c:pt idx="6">
                  <c:v>Gábor</c:v>
                </c:pt>
                <c:pt idx="7">
                  <c:v>Hanna</c:v>
                </c:pt>
              </c:strCache>
            </c:strRef>
          </c:cat>
          <c:val>
            <c:numRef>
              <c:f>'3 Könyvtár'!$B$5:$B$12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F-4D10-A6E3-786F3005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745791"/>
        <c:axId val="431967759"/>
      </c:barChart>
      <c:catAx>
        <c:axId val="39174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31967759"/>
        <c:crosses val="autoZero"/>
        <c:auto val="1"/>
        <c:lblAlgn val="ctr"/>
        <c:lblOffset val="100"/>
        <c:noMultiLvlLbl val="0"/>
      </c:catAx>
      <c:valAx>
        <c:axId val="4319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174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Iskolai büfé'!$A$5:$A$10</c:f>
              <c:strCache>
                <c:ptCount val="6"/>
                <c:pt idx="0">
                  <c:v>Szendvics</c:v>
                </c:pt>
                <c:pt idx="1">
                  <c:v>Gyümölcslé</c:v>
                </c:pt>
                <c:pt idx="2">
                  <c:v>Péksütemény</c:v>
                </c:pt>
                <c:pt idx="3">
                  <c:v>Alma</c:v>
                </c:pt>
                <c:pt idx="4">
                  <c:v>Ásványvíz</c:v>
                </c:pt>
                <c:pt idx="5">
                  <c:v>Joghurt</c:v>
                </c:pt>
              </c:strCache>
            </c:strRef>
          </c:cat>
          <c:val>
            <c:numRef>
              <c:f>'4 Iskolai büfé'!$D$5:$D$10</c:f>
              <c:numCache>
                <c:formatCode>#\ ##0\ "Ft"</c:formatCode>
                <c:ptCount val="6"/>
                <c:pt idx="0">
                  <c:v>16020</c:v>
                </c:pt>
                <c:pt idx="1">
                  <c:v>12250</c:v>
                </c:pt>
                <c:pt idx="2">
                  <c:v>10500</c:v>
                </c:pt>
                <c:pt idx="3">
                  <c:v>2640</c:v>
                </c:pt>
                <c:pt idx="4">
                  <c:v>6380</c:v>
                </c:pt>
                <c:pt idx="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0-4FFC-8AE8-542E4FC2D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412287"/>
        <c:axId val="431974831"/>
      </c:barChart>
      <c:catAx>
        <c:axId val="4024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31974831"/>
        <c:crosses val="autoZero"/>
        <c:auto val="1"/>
        <c:lblAlgn val="ctr"/>
        <c:lblOffset val="100"/>
        <c:noMultiLvlLbl val="0"/>
      </c:catAx>
      <c:valAx>
        <c:axId val="4319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Ft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241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1719262</xdr:colOff>
      <xdr:row>8</xdr:row>
      <xdr:rowOff>266706</xdr:rowOff>
    </xdr:from>
    <xdr:to>
      <xdr:col>13</xdr:col>
      <xdr:colOff>333375</xdr:colOff>
      <xdr:row>21</xdr:row>
      <xdr:rowOff>247650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9FBE1B-47A1-4341-8C67-70F3ED430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1462087</xdr:colOff>
      <xdr:row>5</xdr:row>
      <xdr:rowOff>128587</xdr:rowOff>
    </xdr:from>
    <xdr:to>
      <xdr:col>13</xdr:col>
      <xdr:colOff>666750</xdr:colOff>
      <xdr:row>20</xdr:row>
      <xdr:rowOff>123825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D07F3D8-8CEE-4F84-B046-BF9A2C396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452437</xdr:colOff>
      <xdr:row>5</xdr:row>
      <xdr:rowOff>33337</xdr:rowOff>
    </xdr:from>
    <xdr:to>
      <xdr:col>13</xdr:col>
      <xdr:colOff>290512</xdr:colOff>
      <xdr:row>14</xdr:row>
      <xdr:rowOff>204787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1E4B80-1302-4251-99E5-4EBCA5FE7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1795462</xdr:colOff>
      <xdr:row>5</xdr:row>
      <xdr:rowOff>147637</xdr:rowOff>
    </xdr:from>
    <xdr:to>
      <xdr:col>12</xdr:col>
      <xdr:colOff>23812</xdr:colOff>
      <xdr:row>15</xdr:row>
      <xdr:rowOff>33337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5985D09-996E-4B08-A3E9-8CD33E918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4" topLeftCell="A5" activePane="bottomLeft" state="frozen"/>
      <selection pane="bottomLeft" activeCell="A24" sqref="A24:H24"/>
    </sheetView>
  </sheetViews>
  <sheetFormatPr defaultColWidth="8.875" defaultRowHeight="14.25"/>
  <cols>
    <col min="1" max="1" width="20" style="3" customWidth="1"/>
    <col min="2" max="2" width="25" style="3" customWidth="1"/>
    <col min="3" max="3" width="23" style="18" customWidth="1"/>
    <col min="4" max="4" width="25" style="3" customWidth="1"/>
    <col min="5" max="5" width="27" style="3" customWidth="1"/>
    <col min="6" max="6" width="30" style="3" customWidth="1"/>
    <col min="7" max="16384" width="8.875" style="3"/>
  </cols>
  <sheetData>
    <row r="1" spans="1:8" ht="21.75">
      <c r="A1" s="1" t="s">
        <v>0</v>
      </c>
      <c r="B1" s="1"/>
      <c r="C1" s="2"/>
      <c r="D1" s="1"/>
      <c r="E1" s="1"/>
      <c r="F1" s="1"/>
      <c r="G1" s="1"/>
      <c r="H1" s="1"/>
    </row>
    <row r="2" spans="1:8">
      <c r="A2" s="4" t="s">
        <v>97</v>
      </c>
      <c r="B2" s="4"/>
      <c r="C2" s="5"/>
      <c r="D2" s="4"/>
      <c r="E2" s="4"/>
      <c r="F2" s="4"/>
      <c r="G2" s="4"/>
      <c r="H2" s="4"/>
    </row>
    <row r="3" spans="1:8">
      <c r="A3" s="4"/>
      <c r="B3" s="4"/>
      <c r="C3" s="5"/>
      <c r="D3" s="4"/>
      <c r="E3" s="4"/>
      <c r="F3" s="4"/>
      <c r="G3" s="4"/>
      <c r="H3" s="4"/>
    </row>
    <row r="4" spans="1:8" ht="15">
      <c r="A4" s="6" t="s">
        <v>5</v>
      </c>
      <c r="B4" s="6" t="s">
        <v>6</v>
      </c>
      <c r="C4" s="7" t="s">
        <v>7</v>
      </c>
      <c r="D4" s="6" t="s">
        <v>8</v>
      </c>
      <c r="E4" s="6"/>
      <c r="F4" s="6" t="s">
        <v>9</v>
      </c>
      <c r="G4" s="8"/>
      <c r="H4" s="8"/>
    </row>
    <row r="5" spans="1:8" ht="22.9" customHeight="1">
      <c r="A5" s="9" t="s">
        <v>10</v>
      </c>
      <c r="B5" s="10">
        <v>790</v>
      </c>
      <c r="C5" s="11">
        <v>2</v>
      </c>
      <c r="D5" s="10">
        <f>C5*B5</f>
        <v>1580</v>
      </c>
      <c r="E5" s="9"/>
      <c r="F5" s="12">
        <v>0.1</v>
      </c>
      <c r="G5" s="4"/>
      <c r="H5" s="4"/>
    </row>
    <row r="6" spans="1:8" ht="22.9" customHeight="1">
      <c r="A6" s="9" t="s">
        <v>11</v>
      </c>
      <c r="B6" s="10">
        <v>520</v>
      </c>
      <c r="C6" s="11">
        <v>3</v>
      </c>
      <c r="D6" s="10">
        <f t="shared" ref="D6:D10" si="0">C6*B6</f>
        <v>1560</v>
      </c>
      <c r="E6" s="13" t="s">
        <v>90</v>
      </c>
      <c r="F6" s="10">
        <f>D12*0.1</f>
        <v>1093</v>
      </c>
      <c r="G6" s="4"/>
      <c r="H6" s="4"/>
    </row>
    <row r="7" spans="1:8" ht="22.9" customHeight="1">
      <c r="A7" s="9" t="s">
        <v>12</v>
      </c>
      <c r="B7" s="10">
        <v>680</v>
      </c>
      <c r="C7" s="11">
        <v>2</v>
      </c>
      <c r="D7" s="10">
        <f t="shared" si="0"/>
        <v>1360</v>
      </c>
      <c r="E7" s="13" t="s">
        <v>91</v>
      </c>
      <c r="F7" s="10">
        <f>D12-F6</f>
        <v>9837</v>
      </c>
      <c r="G7" s="4"/>
      <c r="H7" s="4"/>
    </row>
    <row r="8" spans="1:8" ht="22.9" customHeight="1">
      <c r="A8" s="9" t="s">
        <v>13</v>
      </c>
      <c r="B8" s="10">
        <v>1890</v>
      </c>
      <c r="C8" s="11">
        <v>1</v>
      </c>
      <c r="D8" s="10">
        <f t="shared" si="0"/>
        <v>1890</v>
      </c>
      <c r="E8" s="13" t="s">
        <v>92</v>
      </c>
      <c r="F8" s="10">
        <f>ROUND(F7,0)</f>
        <v>9837</v>
      </c>
      <c r="G8" s="4"/>
      <c r="H8" s="4"/>
    </row>
    <row r="9" spans="1:8" ht="22.9" customHeight="1">
      <c r="A9" s="9" t="s">
        <v>14</v>
      </c>
      <c r="B9" s="10">
        <v>540</v>
      </c>
      <c r="C9" s="11">
        <v>4</v>
      </c>
      <c r="D9" s="10">
        <f t="shared" si="0"/>
        <v>2160</v>
      </c>
      <c r="E9" s="9"/>
      <c r="F9" s="9"/>
      <c r="G9" s="4"/>
      <c r="H9" s="4"/>
    </row>
    <row r="10" spans="1:8" ht="22.9" customHeight="1">
      <c r="A10" s="9" t="s">
        <v>15</v>
      </c>
      <c r="B10" s="10">
        <v>1190</v>
      </c>
      <c r="C10" s="11">
        <v>2</v>
      </c>
      <c r="D10" s="10">
        <f t="shared" si="0"/>
        <v>2380</v>
      </c>
      <c r="E10" s="9"/>
      <c r="F10" s="9"/>
      <c r="G10" s="4"/>
      <c r="H10" s="4"/>
    </row>
    <row r="11" spans="1:8" ht="22.9" customHeight="1">
      <c r="A11" s="9"/>
      <c r="B11" s="9"/>
      <c r="C11" s="11"/>
      <c r="D11" s="14"/>
      <c r="E11" s="9"/>
      <c r="F11" s="9"/>
      <c r="G11" s="4"/>
      <c r="H11" s="4"/>
    </row>
    <row r="12" spans="1:8" ht="22.9" customHeight="1">
      <c r="A12" s="9"/>
      <c r="B12" s="9"/>
      <c r="C12" s="13" t="s">
        <v>93</v>
      </c>
      <c r="D12" s="10">
        <f>SUM(D5:D10)</f>
        <v>10930</v>
      </c>
      <c r="E12" s="9"/>
      <c r="F12" s="9"/>
      <c r="G12" s="4"/>
      <c r="H12" s="4"/>
    </row>
    <row r="13" spans="1:8" ht="22.9" customHeight="1">
      <c r="A13" s="9"/>
      <c r="B13" s="9"/>
      <c r="C13" s="13" t="s">
        <v>94</v>
      </c>
      <c r="D13" s="10">
        <f>AVERAGE(D5:D10)</f>
        <v>1821.6666666666667</v>
      </c>
      <c r="E13" s="9"/>
      <c r="F13" s="9"/>
      <c r="G13" s="4"/>
      <c r="H13" s="4"/>
    </row>
    <row r="14" spans="1:8" ht="22.9" customHeight="1">
      <c r="A14" s="9"/>
      <c r="B14" s="9"/>
      <c r="C14" s="13" t="s">
        <v>95</v>
      </c>
      <c r="D14" s="10">
        <f>MIN(D5:D10)</f>
        <v>1360</v>
      </c>
      <c r="E14" s="9"/>
      <c r="F14" s="9"/>
      <c r="G14" s="4"/>
      <c r="H14" s="4"/>
    </row>
    <row r="15" spans="1:8" ht="22.9" customHeight="1">
      <c r="A15" s="9"/>
      <c r="B15" s="9"/>
      <c r="C15" s="13" t="s">
        <v>96</v>
      </c>
      <c r="D15" s="10">
        <f>MAX(D5:D10)</f>
        <v>2380</v>
      </c>
      <c r="E15" s="9"/>
      <c r="F15" s="9"/>
      <c r="G15" s="4"/>
      <c r="H15" s="4"/>
    </row>
    <row r="16" spans="1:8">
      <c r="A16" s="4"/>
      <c r="B16" s="4"/>
      <c r="C16" s="5"/>
      <c r="D16" s="4"/>
      <c r="E16" s="4"/>
      <c r="F16" s="4"/>
      <c r="G16" s="4"/>
      <c r="H16" s="4"/>
    </row>
    <row r="17" spans="1:8">
      <c r="A17" s="4"/>
      <c r="B17" s="4"/>
      <c r="C17" s="5"/>
      <c r="D17" s="4"/>
      <c r="E17" s="4"/>
      <c r="F17" s="4"/>
      <c r="G17" s="4"/>
      <c r="H17" s="4"/>
    </row>
    <row r="18" spans="1:8" ht="15">
      <c r="A18" s="15" t="s">
        <v>20</v>
      </c>
      <c r="B18" s="15"/>
      <c r="C18" s="16"/>
      <c r="D18" s="15"/>
      <c r="E18" s="15"/>
      <c r="F18" s="15"/>
      <c r="G18" s="15"/>
      <c r="H18" s="15"/>
    </row>
    <row r="19" spans="1:8" ht="26.45" customHeight="1">
      <c r="A19" s="30" t="s">
        <v>21</v>
      </c>
      <c r="B19" s="30"/>
      <c r="C19" s="30"/>
      <c r="D19" s="30"/>
      <c r="E19" s="30"/>
      <c r="F19" s="30"/>
      <c r="G19" s="30"/>
      <c r="H19" s="30"/>
    </row>
    <row r="20" spans="1:8" ht="25.15" customHeight="1">
      <c r="A20" s="30" t="s">
        <v>22</v>
      </c>
      <c r="B20" s="30"/>
      <c r="C20" s="30"/>
      <c r="D20" s="30"/>
      <c r="E20" s="30"/>
      <c r="F20" s="30"/>
      <c r="G20" s="30"/>
      <c r="H20" s="30"/>
    </row>
    <row r="21" spans="1:8" ht="21.6" customHeight="1">
      <c r="A21" s="30" t="s">
        <v>23</v>
      </c>
      <c r="B21" s="30"/>
      <c r="C21" s="30"/>
      <c r="D21" s="30"/>
      <c r="E21" s="30"/>
      <c r="F21" s="30"/>
      <c r="G21" s="30"/>
      <c r="H21" s="30"/>
    </row>
    <row r="22" spans="1:8" ht="24.6" customHeight="1">
      <c r="A22" s="30" t="s">
        <v>24</v>
      </c>
      <c r="B22" s="30"/>
      <c r="C22" s="30"/>
      <c r="D22" s="30"/>
      <c r="E22" s="30"/>
      <c r="F22" s="30"/>
      <c r="G22" s="30"/>
      <c r="H22" s="30"/>
    </row>
    <row r="23" spans="1:8" ht="25.15" customHeight="1">
      <c r="A23" s="30" t="s">
        <v>25</v>
      </c>
      <c r="B23" s="30"/>
      <c r="C23" s="30"/>
      <c r="D23" s="30"/>
      <c r="E23" s="30"/>
      <c r="F23" s="30"/>
      <c r="G23" s="30"/>
      <c r="H23" s="30"/>
    </row>
    <row r="24" spans="1:8" ht="28.15" customHeight="1">
      <c r="A24" s="30" t="s">
        <v>26</v>
      </c>
      <c r="B24" s="30"/>
      <c r="C24" s="30"/>
      <c r="D24" s="30"/>
      <c r="E24" s="30"/>
      <c r="F24" s="30"/>
      <c r="G24" s="30"/>
      <c r="H24" s="30"/>
    </row>
    <row r="25" spans="1:8" ht="22.9" customHeight="1">
      <c r="A25" s="30" t="s">
        <v>27</v>
      </c>
      <c r="B25" s="30"/>
      <c r="C25" s="30"/>
      <c r="D25" s="30"/>
      <c r="E25" s="30"/>
      <c r="F25" s="30"/>
      <c r="G25" s="30"/>
      <c r="H25" s="30"/>
    </row>
    <row r="26" spans="1:8" ht="25.15" customHeight="1">
      <c r="A26" s="17"/>
      <c r="B26" s="4"/>
      <c r="C26" s="5"/>
      <c r="D26" s="4"/>
      <c r="E26" s="4"/>
      <c r="F26" s="4"/>
      <c r="G26" s="4"/>
      <c r="H26" s="4"/>
    </row>
  </sheetData>
  <mergeCells count="7">
    <mergeCell ref="A25:H25"/>
    <mergeCell ref="A19:H19"/>
    <mergeCell ref="A20:H20"/>
    <mergeCell ref="A21:H21"/>
    <mergeCell ref="A22:H22"/>
    <mergeCell ref="A23:H23"/>
    <mergeCell ref="A24:H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pane ySplit="4" topLeftCell="A5" activePane="bottomLeft" state="frozen"/>
      <selection pane="bottomLeft" activeCell="M16" sqref="M16"/>
    </sheetView>
  </sheetViews>
  <sheetFormatPr defaultColWidth="8.875" defaultRowHeight="14.25"/>
  <cols>
    <col min="1" max="1" width="23.25" style="3" customWidth="1"/>
    <col min="2" max="2" width="25" style="3" customWidth="1"/>
    <col min="3" max="3" width="23" style="3" customWidth="1"/>
    <col min="4" max="4" width="25" style="3" customWidth="1"/>
    <col min="5" max="5" width="27" style="3" customWidth="1"/>
    <col min="6" max="6" width="30" style="3" customWidth="1"/>
    <col min="7" max="16384" width="8.875" style="3"/>
  </cols>
  <sheetData>
    <row r="1" spans="1:8" ht="21.75">
      <c r="A1" s="21" t="s">
        <v>1</v>
      </c>
      <c r="B1" s="21"/>
      <c r="C1" s="21"/>
      <c r="D1" s="21"/>
      <c r="E1" s="21"/>
      <c r="F1" s="21"/>
      <c r="G1" s="21"/>
      <c r="H1" s="21"/>
    </row>
    <row r="2" spans="1:8">
      <c r="A2" s="4" t="s">
        <v>97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 ht="1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G4" s="6" t="s">
        <v>33</v>
      </c>
      <c r="H4" s="8"/>
    </row>
    <row r="5" spans="1:8" ht="22.9" customHeight="1">
      <c r="A5" s="9" t="s">
        <v>34</v>
      </c>
      <c r="B5" s="10">
        <v>5000</v>
      </c>
      <c r="C5" s="10">
        <v>2000</v>
      </c>
      <c r="D5" s="10">
        <v>850</v>
      </c>
      <c r="E5" s="10">
        <f>B5+C5-D5</f>
        <v>6150</v>
      </c>
      <c r="G5" s="19">
        <f>COUNTIF(D5:D10,"&gt;0")</f>
        <v>6</v>
      </c>
      <c r="H5" s="4"/>
    </row>
    <row r="6" spans="1:8" ht="22.9" customHeight="1">
      <c r="A6" s="9" t="s">
        <v>35</v>
      </c>
      <c r="B6" s="10">
        <f>E5</f>
        <v>6150</v>
      </c>
      <c r="C6" s="10">
        <v>0</v>
      </c>
      <c r="D6" s="10">
        <v>1250</v>
      </c>
      <c r="E6" s="10">
        <f t="shared" ref="E6:E10" si="0">B6+C6-D6</f>
        <v>4900</v>
      </c>
      <c r="F6" s="9"/>
      <c r="G6" s="4"/>
      <c r="H6" s="4"/>
    </row>
    <row r="7" spans="1:8" ht="22.9" customHeight="1">
      <c r="A7" s="9" t="s">
        <v>36</v>
      </c>
      <c r="B7" s="10">
        <f t="shared" ref="B7:B10" si="1">E6</f>
        <v>4900</v>
      </c>
      <c r="C7" s="10">
        <v>1500</v>
      </c>
      <c r="D7" s="10">
        <v>690</v>
      </c>
      <c r="E7" s="10">
        <f t="shared" si="0"/>
        <v>5710</v>
      </c>
      <c r="F7" s="9"/>
      <c r="G7" s="4"/>
      <c r="H7" s="4"/>
    </row>
    <row r="8" spans="1:8" ht="22.9" customHeight="1">
      <c r="A8" s="9" t="s">
        <v>37</v>
      </c>
      <c r="B8" s="10">
        <f t="shared" si="1"/>
        <v>5710</v>
      </c>
      <c r="C8" s="10">
        <v>0</v>
      </c>
      <c r="D8" s="10">
        <v>1790</v>
      </c>
      <c r="E8" s="10">
        <f t="shared" si="0"/>
        <v>3920</v>
      </c>
      <c r="F8" s="9"/>
      <c r="G8" s="4"/>
      <c r="H8" s="4"/>
    </row>
    <row r="9" spans="1:8" ht="22.9" customHeight="1">
      <c r="A9" s="9" t="s">
        <v>38</v>
      </c>
      <c r="B9" s="10">
        <f t="shared" si="1"/>
        <v>3920</v>
      </c>
      <c r="C9" s="10">
        <v>1000</v>
      </c>
      <c r="D9" s="10">
        <v>2200</v>
      </c>
      <c r="E9" s="10">
        <f t="shared" si="0"/>
        <v>2720</v>
      </c>
      <c r="F9" s="9"/>
      <c r="G9" s="4"/>
      <c r="H9" s="4"/>
    </row>
    <row r="10" spans="1:8" ht="22.9" customHeight="1">
      <c r="A10" s="9" t="s">
        <v>39</v>
      </c>
      <c r="B10" s="10">
        <f t="shared" si="1"/>
        <v>2720</v>
      </c>
      <c r="C10" s="10">
        <v>3000</v>
      </c>
      <c r="D10" s="10">
        <v>3500</v>
      </c>
      <c r="E10" s="10">
        <f t="shared" si="0"/>
        <v>2220</v>
      </c>
      <c r="F10" s="9"/>
      <c r="G10" s="4"/>
      <c r="H10" s="4"/>
    </row>
    <row r="11" spans="1:8" ht="22.9" customHeight="1">
      <c r="A11" s="9"/>
      <c r="B11" s="14"/>
      <c r="C11" s="14"/>
      <c r="D11" s="14"/>
      <c r="E11" s="14"/>
      <c r="F11" s="9"/>
      <c r="G11" s="4"/>
      <c r="H11" s="4"/>
    </row>
    <row r="12" spans="1:8" ht="22.9" customHeight="1">
      <c r="A12" s="9"/>
      <c r="B12" s="20" t="s">
        <v>98</v>
      </c>
      <c r="C12" s="10">
        <f t="shared" ref="C12:D12" si="2">SUM(C5:C10)</f>
        <v>7500</v>
      </c>
      <c r="D12" s="10">
        <f t="shared" si="2"/>
        <v>10280</v>
      </c>
      <c r="E12" s="10">
        <f>SUM(E5:E10)</f>
        <v>25620</v>
      </c>
      <c r="F12" s="9"/>
      <c r="G12" s="4"/>
      <c r="H12" s="4"/>
    </row>
    <row r="13" spans="1:8" ht="22.9" customHeight="1">
      <c r="A13" s="9"/>
      <c r="B13" s="20" t="s">
        <v>99</v>
      </c>
      <c r="C13" s="10">
        <f>AVERAGE(C5:C10)</f>
        <v>1250</v>
      </c>
      <c r="D13" s="10">
        <f>AVERAGE(D5:D10)</f>
        <v>1713.3333333333333</v>
      </c>
      <c r="E13" s="10">
        <f>AVERAGE(E5:E10)</f>
        <v>4270</v>
      </c>
      <c r="F13" s="9"/>
      <c r="G13" s="4"/>
      <c r="H13" s="4"/>
    </row>
    <row r="14" spans="1:8" ht="22.9" customHeight="1">
      <c r="A14" s="9"/>
      <c r="B14" s="20" t="s">
        <v>100</v>
      </c>
      <c r="C14" s="10">
        <f t="shared" ref="C14:D14" si="3">MIN(C5:C10)</f>
        <v>0</v>
      </c>
      <c r="D14" s="10">
        <f t="shared" si="3"/>
        <v>690</v>
      </c>
      <c r="E14" s="10">
        <f>MIN(E5:E10)</f>
        <v>2220</v>
      </c>
      <c r="F14" s="9"/>
      <c r="G14" s="4"/>
      <c r="H14" s="4"/>
    </row>
    <row r="15" spans="1:8" ht="22.9" customHeight="1">
      <c r="A15" s="9"/>
      <c r="B15" s="20" t="s">
        <v>101</v>
      </c>
      <c r="C15" s="10">
        <f t="shared" ref="C15:D15" si="4">MAX(C5:C10)</f>
        <v>3000</v>
      </c>
      <c r="D15" s="10">
        <f t="shared" si="4"/>
        <v>3500</v>
      </c>
      <c r="E15" s="10">
        <f>MAX(E5:E10)</f>
        <v>6150</v>
      </c>
      <c r="F15" s="9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 ht="15">
      <c r="A18" s="15" t="s">
        <v>20</v>
      </c>
      <c r="B18" s="15"/>
      <c r="C18" s="15"/>
      <c r="D18" s="15"/>
      <c r="E18" s="15"/>
      <c r="F18" s="15"/>
      <c r="G18" s="15"/>
      <c r="H18" s="15"/>
    </row>
    <row r="19" spans="1:8" ht="25.15" customHeight="1">
      <c r="A19" s="30" t="s">
        <v>40</v>
      </c>
      <c r="B19" s="30"/>
      <c r="C19" s="30"/>
      <c r="D19" s="30"/>
      <c r="E19" s="30"/>
      <c r="F19" s="30"/>
      <c r="G19" s="30"/>
      <c r="H19" s="30"/>
    </row>
    <row r="20" spans="1:8" ht="25.15" customHeight="1">
      <c r="A20" s="30" t="s">
        <v>41</v>
      </c>
      <c r="B20" s="30"/>
      <c r="C20" s="30"/>
      <c r="D20" s="30"/>
      <c r="E20" s="30"/>
      <c r="F20" s="30"/>
      <c r="G20" s="30"/>
      <c r="H20" s="30"/>
    </row>
    <row r="21" spans="1:8" ht="25.15" customHeight="1">
      <c r="A21" s="30" t="s">
        <v>42</v>
      </c>
      <c r="B21" s="30"/>
      <c r="C21" s="30"/>
      <c r="D21" s="30"/>
      <c r="E21" s="30"/>
      <c r="F21" s="30"/>
      <c r="G21" s="30"/>
      <c r="H21" s="30"/>
    </row>
    <row r="22" spans="1:8" ht="25.15" customHeight="1">
      <c r="A22" s="30" t="s">
        <v>43</v>
      </c>
      <c r="B22" s="30"/>
      <c r="C22" s="30"/>
      <c r="D22" s="30"/>
      <c r="E22" s="30"/>
      <c r="F22" s="30"/>
      <c r="G22" s="30"/>
      <c r="H22" s="30"/>
    </row>
    <row r="23" spans="1:8" ht="25.15" customHeight="1">
      <c r="A23" s="30" t="s">
        <v>44</v>
      </c>
      <c r="B23" s="30"/>
      <c r="C23" s="30"/>
      <c r="D23" s="30"/>
      <c r="E23" s="30"/>
      <c r="F23" s="30"/>
      <c r="G23" s="30"/>
      <c r="H23" s="30"/>
    </row>
    <row r="24" spans="1:8" ht="25.15" customHeight="1">
      <c r="A24" s="30" t="s">
        <v>102</v>
      </c>
      <c r="B24" s="30"/>
      <c r="C24" s="30"/>
      <c r="D24" s="30"/>
      <c r="E24" s="30"/>
      <c r="F24" s="30"/>
      <c r="G24" s="30"/>
      <c r="H24" s="30"/>
    </row>
    <row r="25" spans="1:8" ht="25.15" customHeight="1">
      <c r="A25" s="30" t="s">
        <v>45</v>
      </c>
      <c r="B25" s="30"/>
      <c r="C25" s="30"/>
      <c r="D25" s="30"/>
      <c r="E25" s="30"/>
      <c r="F25" s="30"/>
      <c r="G25" s="30"/>
      <c r="H25" s="30"/>
    </row>
    <row r="26" spans="1:8" ht="25.15" customHeight="1">
      <c r="A26" s="17"/>
      <c r="B26" s="4"/>
      <c r="C26" s="4"/>
      <c r="D26" s="4"/>
      <c r="E26" s="4"/>
      <c r="F26" s="4"/>
      <c r="G26" s="4"/>
      <c r="H26" s="4"/>
    </row>
  </sheetData>
  <mergeCells count="7">
    <mergeCell ref="A25:H25"/>
    <mergeCell ref="A19:H19"/>
    <mergeCell ref="A20:H20"/>
    <mergeCell ref="A21:H21"/>
    <mergeCell ref="A22:H22"/>
    <mergeCell ref="A23:H23"/>
    <mergeCell ref="A24:H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pane ySplit="4" topLeftCell="A5" activePane="bottomLeft" state="frozen"/>
      <selection pane="bottomLeft" activeCell="F9" sqref="F9"/>
    </sheetView>
  </sheetViews>
  <sheetFormatPr defaultColWidth="8.875" defaultRowHeight="14.25"/>
  <cols>
    <col min="1" max="1" width="27" style="3" customWidth="1"/>
    <col min="2" max="2" width="25" style="18" customWidth="1"/>
    <col min="3" max="3" width="23" style="18" customWidth="1"/>
    <col min="4" max="4" width="25" style="3" customWidth="1"/>
    <col min="5" max="5" width="27" style="3" customWidth="1"/>
    <col min="6" max="6" width="30" style="3" customWidth="1"/>
    <col min="7" max="16384" width="8.875" style="3"/>
  </cols>
  <sheetData>
    <row r="1" spans="1:8" ht="21.75">
      <c r="A1" s="22" t="s">
        <v>2</v>
      </c>
      <c r="B1" s="24"/>
      <c r="C1" s="24"/>
      <c r="D1" s="22"/>
      <c r="E1" s="22"/>
      <c r="F1" s="22"/>
      <c r="G1" s="22"/>
      <c r="H1" s="22"/>
    </row>
    <row r="2" spans="1:8">
      <c r="A2" s="4" t="s">
        <v>4</v>
      </c>
      <c r="B2" s="5"/>
      <c r="C2" s="5"/>
      <c r="D2" s="4"/>
      <c r="E2" s="4"/>
      <c r="F2" s="4"/>
      <c r="G2" s="4"/>
      <c r="H2" s="4"/>
    </row>
    <row r="3" spans="1:8">
      <c r="A3" s="4"/>
      <c r="B3" s="5"/>
      <c r="C3" s="5"/>
      <c r="D3" s="4"/>
      <c r="E3" s="4"/>
      <c r="F3" s="4"/>
      <c r="G3" s="4"/>
      <c r="H3" s="4"/>
    </row>
    <row r="4" spans="1:8" ht="15">
      <c r="A4" s="6" t="s">
        <v>46</v>
      </c>
      <c r="B4" s="7" t="s">
        <v>47</v>
      </c>
      <c r="C4" s="7" t="s">
        <v>48</v>
      </c>
      <c r="D4" s="6" t="s">
        <v>49</v>
      </c>
      <c r="E4" s="6" t="s">
        <v>50</v>
      </c>
      <c r="F4" s="6" t="s">
        <v>51</v>
      </c>
      <c r="G4" s="8"/>
      <c r="H4" s="8"/>
    </row>
    <row r="5" spans="1:8" ht="22.9" customHeight="1">
      <c r="A5" s="9" t="s">
        <v>52</v>
      </c>
      <c r="B5" s="11">
        <v>3</v>
      </c>
      <c r="C5" s="11" t="s">
        <v>53</v>
      </c>
      <c r="D5" s="9"/>
      <c r="E5" s="13" t="s">
        <v>54</v>
      </c>
      <c r="F5" s="19">
        <f>COUNT(B5:B12)</f>
        <v>6</v>
      </c>
      <c r="G5" s="4"/>
      <c r="H5" s="4"/>
    </row>
    <row r="6" spans="1:8" ht="22.9" customHeight="1">
      <c r="A6" s="9" t="s">
        <v>55</v>
      </c>
      <c r="B6" s="11">
        <v>1</v>
      </c>
      <c r="C6" s="11" t="s">
        <v>56</v>
      </c>
      <c r="D6" s="9" t="s">
        <v>57</v>
      </c>
      <c r="E6" s="13" t="s">
        <v>58</v>
      </c>
      <c r="F6" s="19">
        <f>COUNTA(A5:A12)</f>
        <v>8</v>
      </c>
      <c r="G6" s="4"/>
      <c r="H6" s="4"/>
    </row>
    <row r="7" spans="1:8" ht="22.9" customHeight="1">
      <c r="A7" s="9" t="s">
        <v>59</v>
      </c>
      <c r="B7" s="11">
        <v>2</v>
      </c>
      <c r="C7" s="11" t="s">
        <v>53</v>
      </c>
      <c r="D7" s="9"/>
      <c r="E7" s="13" t="s">
        <v>60</v>
      </c>
      <c r="F7" s="19">
        <f>COUNTBLANK(B5:B12)</f>
        <v>2</v>
      </c>
      <c r="G7" s="4"/>
      <c r="H7" s="4"/>
    </row>
    <row r="8" spans="1:8" ht="22.9" customHeight="1">
      <c r="A8" s="9" t="s">
        <v>61</v>
      </c>
      <c r="B8" s="11"/>
      <c r="C8" s="11" t="s">
        <v>56</v>
      </c>
      <c r="D8" s="9" t="s">
        <v>62</v>
      </c>
      <c r="E8" s="13" t="s">
        <v>63</v>
      </c>
      <c r="F8" s="19">
        <f>COUNTIF(B5:B12,"=2")</f>
        <v>2</v>
      </c>
      <c r="G8" s="4"/>
      <c r="H8" s="4"/>
    </row>
    <row r="9" spans="1:8" ht="22.9" customHeight="1">
      <c r="A9" s="9" t="s">
        <v>64</v>
      </c>
      <c r="B9" s="11">
        <v>4</v>
      </c>
      <c r="C9" s="11" t="s">
        <v>53</v>
      </c>
      <c r="D9" s="9"/>
      <c r="E9" s="13" t="s">
        <v>65</v>
      </c>
      <c r="F9" s="19">
        <f>COUNTIFS(B5:B12,"&gt;1",C5:C12,"igen")</f>
        <v>3</v>
      </c>
      <c r="G9" s="4"/>
      <c r="H9" s="4"/>
    </row>
    <row r="10" spans="1:8" ht="22.9" customHeight="1">
      <c r="A10" s="9" t="s">
        <v>66</v>
      </c>
      <c r="B10" s="11">
        <v>0</v>
      </c>
      <c r="C10" s="11" t="s">
        <v>53</v>
      </c>
      <c r="D10" s="9"/>
      <c r="E10" s="13" t="s">
        <v>67</v>
      </c>
      <c r="F10" s="19">
        <f>SUM(B5:B12)</f>
        <v>12</v>
      </c>
      <c r="G10" s="4"/>
      <c r="H10" s="4"/>
    </row>
    <row r="11" spans="1:8" ht="22.9" customHeight="1">
      <c r="A11" s="9" t="s">
        <v>68</v>
      </c>
      <c r="B11" s="11">
        <v>2</v>
      </c>
      <c r="C11" s="11" t="s">
        <v>56</v>
      </c>
      <c r="D11" s="9" t="s">
        <v>57</v>
      </c>
      <c r="E11" s="9"/>
      <c r="F11" s="9"/>
      <c r="G11" s="4"/>
      <c r="H11" s="4"/>
    </row>
    <row r="12" spans="1:8" ht="22.9" customHeight="1">
      <c r="A12" s="9" t="s">
        <v>69</v>
      </c>
      <c r="B12" s="11"/>
      <c r="C12" s="11" t="s">
        <v>53</v>
      </c>
      <c r="D12" s="9"/>
      <c r="E12" s="9"/>
      <c r="F12" s="9"/>
      <c r="G12" s="4"/>
      <c r="H12" s="4"/>
    </row>
    <row r="13" spans="1:8" ht="22.9" customHeight="1">
      <c r="A13" s="9"/>
      <c r="B13" s="11"/>
      <c r="C13" s="11"/>
      <c r="D13" s="9"/>
      <c r="E13" s="9"/>
      <c r="F13" s="9"/>
      <c r="G13" s="4"/>
      <c r="H13" s="4"/>
    </row>
    <row r="14" spans="1:8" ht="22.9" customHeight="1">
      <c r="A14" s="9"/>
      <c r="B14" s="11"/>
      <c r="C14" s="11"/>
      <c r="D14" s="9"/>
      <c r="E14" s="9"/>
      <c r="F14" s="9"/>
      <c r="G14" s="4"/>
      <c r="H14" s="4"/>
    </row>
    <row r="15" spans="1:8" ht="22.9" customHeight="1">
      <c r="A15" s="9"/>
      <c r="B15" s="11"/>
      <c r="C15" s="11"/>
      <c r="D15" s="9"/>
      <c r="E15" s="9"/>
      <c r="F15" s="9"/>
      <c r="G15" s="4"/>
      <c r="H15" s="4"/>
    </row>
    <row r="16" spans="1:8">
      <c r="A16" s="4"/>
      <c r="B16" s="5"/>
      <c r="C16" s="5"/>
      <c r="D16" s="4"/>
      <c r="E16" s="4"/>
      <c r="F16" s="4"/>
      <c r="G16" s="4"/>
      <c r="H16" s="4"/>
    </row>
    <row r="17" spans="1:8">
      <c r="A17" s="4"/>
      <c r="B17" s="5"/>
      <c r="C17" s="5"/>
      <c r="D17" s="4"/>
      <c r="E17" s="4"/>
      <c r="F17" s="4"/>
      <c r="G17" s="4"/>
      <c r="H17" s="4"/>
    </row>
    <row r="18" spans="1:8" ht="15">
      <c r="A18" s="15" t="s">
        <v>20</v>
      </c>
      <c r="B18" s="16"/>
      <c r="C18" s="16"/>
      <c r="D18" s="15"/>
      <c r="E18" s="15"/>
      <c r="F18" s="15"/>
      <c r="G18" s="15"/>
      <c r="H18" s="15"/>
    </row>
    <row r="19" spans="1:8" s="23" customFormat="1" ht="25.15" customHeight="1">
      <c r="A19" s="30" t="s">
        <v>70</v>
      </c>
      <c r="B19" s="30"/>
      <c r="C19" s="30"/>
      <c r="D19" s="30"/>
      <c r="E19" s="30"/>
      <c r="F19" s="30"/>
      <c r="G19" s="30"/>
      <c r="H19" s="30"/>
    </row>
    <row r="20" spans="1:8" s="23" customFormat="1" ht="25.15" customHeight="1">
      <c r="A20" s="30" t="s">
        <v>71</v>
      </c>
      <c r="B20" s="30"/>
      <c r="C20" s="30"/>
      <c r="D20" s="30"/>
      <c r="E20" s="30"/>
      <c r="F20" s="30"/>
      <c r="G20" s="30"/>
      <c r="H20" s="30"/>
    </row>
    <row r="21" spans="1:8" s="23" customFormat="1" ht="25.15" customHeight="1">
      <c r="A21" s="30" t="s">
        <v>72</v>
      </c>
      <c r="B21" s="30"/>
      <c r="C21" s="30"/>
      <c r="D21" s="30"/>
      <c r="E21" s="30"/>
      <c r="F21" s="30"/>
      <c r="G21" s="30"/>
      <c r="H21" s="30"/>
    </row>
    <row r="22" spans="1:8" s="23" customFormat="1" ht="25.15" customHeight="1">
      <c r="A22" s="30" t="s">
        <v>73</v>
      </c>
      <c r="B22" s="30"/>
      <c r="C22" s="30"/>
      <c r="D22" s="30"/>
      <c r="E22" s="30"/>
      <c r="F22" s="30"/>
      <c r="G22" s="30"/>
      <c r="H22" s="30"/>
    </row>
    <row r="23" spans="1:8" s="23" customFormat="1" ht="25.15" customHeight="1">
      <c r="A23" s="30" t="s">
        <v>74</v>
      </c>
      <c r="B23" s="30"/>
      <c r="C23" s="30"/>
      <c r="D23" s="30"/>
      <c r="E23" s="30"/>
      <c r="F23" s="30"/>
      <c r="G23" s="30"/>
      <c r="H23" s="30"/>
    </row>
    <row r="24" spans="1:8" s="23" customFormat="1" ht="25.15" customHeight="1">
      <c r="A24" s="30" t="s">
        <v>75</v>
      </c>
      <c r="B24" s="30"/>
      <c r="C24" s="30"/>
      <c r="D24" s="30"/>
      <c r="E24" s="30"/>
      <c r="F24" s="30"/>
      <c r="G24" s="30"/>
      <c r="H24" s="30"/>
    </row>
    <row r="25" spans="1:8" ht="25.15" customHeight="1">
      <c r="A25" s="17"/>
      <c r="B25" s="5"/>
      <c r="C25" s="5"/>
      <c r="D25" s="4"/>
      <c r="E25" s="4"/>
      <c r="F25" s="4"/>
      <c r="G25" s="4"/>
      <c r="H25" s="4"/>
    </row>
    <row r="26" spans="1:8" ht="25.15" customHeight="1">
      <c r="A26" s="17"/>
      <c r="B26" s="5"/>
      <c r="C26" s="5"/>
      <c r="D26" s="4"/>
      <c r="E26" s="4"/>
      <c r="F26" s="4"/>
      <c r="G26" s="4"/>
      <c r="H26" s="4"/>
    </row>
  </sheetData>
  <mergeCells count="6">
    <mergeCell ref="A24:H24"/>
    <mergeCell ref="A19:H19"/>
    <mergeCell ref="A20:H20"/>
    <mergeCell ref="A21:H21"/>
    <mergeCell ref="A22:H22"/>
    <mergeCell ref="A23:H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pane ySplit="4" topLeftCell="A5" activePane="bottomLeft" state="frozen"/>
      <selection pane="bottomLeft" activeCell="F8" sqref="F8"/>
    </sheetView>
  </sheetViews>
  <sheetFormatPr defaultColWidth="8.875" defaultRowHeight="14.25"/>
  <cols>
    <col min="1" max="1" width="27" style="3" customWidth="1"/>
    <col min="2" max="2" width="25" style="18" customWidth="1"/>
    <col min="3" max="3" width="23" style="3" customWidth="1"/>
    <col min="4" max="4" width="25" style="3" customWidth="1"/>
    <col min="5" max="5" width="27" style="3" customWidth="1"/>
    <col min="6" max="6" width="30" style="3" customWidth="1"/>
    <col min="7" max="16384" width="8.875" style="3"/>
  </cols>
  <sheetData>
    <row r="1" spans="1:8" ht="21.75">
      <c r="A1" s="25" t="s">
        <v>3</v>
      </c>
      <c r="B1" s="26"/>
      <c r="C1" s="25"/>
      <c r="D1" s="25"/>
      <c r="E1" s="25"/>
      <c r="F1" s="25"/>
      <c r="G1" s="25"/>
      <c r="H1" s="25"/>
    </row>
    <row r="2" spans="1:8">
      <c r="A2" s="4" t="s">
        <v>97</v>
      </c>
      <c r="B2" s="5"/>
      <c r="C2" s="4"/>
      <c r="D2" s="4"/>
      <c r="E2" s="4"/>
      <c r="F2" s="4"/>
      <c r="G2" s="4"/>
      <c r="H2" s="4"/>
    </row>
    <row r="3" spans="1:8">
      <c r="A3" s="4"/>
      <c r="B3" s="5"/>
      <c r="C3" s="4"/>
      <c r="D3" s="4"/>
      <c r="E3" s="4"/>
      <c r="F3" s="4"/>
      <c r="G3" s="4"/>
      <c r="H3" s="4"/>
    </row>
    <row r="4" spans="1:8" ht="15">
      <c r="A4" s="6" t="s">
        <v>5</v>
      </c>
      <c r="B4" s="7" t="s">
        <v>76</v>
      </c>
      <c r="C4" s="6" t="s">
        <v>6</v>
      </c>
      <c r="D4" s="6" t="s">
        <v>30</v>
      </c>
      <c r="E4" s="6" t="s">
        <v>77</v>
      </c>
      <c r="F4" s="6" t="s">
        <v>103</v>
      </c>
      <c r="G4" s="8"/>
      <c r="H4" s="8"/>
    </row>
    <row r="5" spans="1:8" ht="22.9" customHeight="1">
      <c r="A5" s="9" t="s">
        <v>78</v>
      </c>
      <c r="B5" s="11">
        <v>18</v>
      </c>
      <c r="C5" s="10">
        <v>890</v>
      </c>
      <c r="D5" s="10">
        <f>B5*C5</f>
        <v>16020</v>
      </c>
      <c r="E5" s="27">
        <f>D5/$D$12</f>
        <v>0.31173380035026271</v>
      </c>
      <c r="F5" s="19">
        <f>COUNTIF(B5:B10,"&gt;20")</f>
        <v>3</v>
      </c>
      <c r="G5" s="4"/>
      <c r="H5" s="4"/>
    </row>
    <row r="6" spans="1:8" ht="22.9" customHeight="1">
      <c r="A6" s="9" t="s">
        <v>79</v>
      </c>
      <c r="B6" s="11">
        <v>25</v>
      </c>
      <c r="C6" s="10">
        <v>490</v>
      </c>
      <c r="D6" s="10">
        <f t="shared" ref="D6:D10" si="0">B6*C6</f>
        <v>12250</v>
      </c>
      <c r="E6" s="27">
        <f t="shared" ref="E6:E10" si="1">D6/$D$12</f>
        <v>0.23837322436271649</v>
      </c>
      <c r="F6" s="9"/>
      <c r="G6" s="4"/>
      <c r="H6" s="4"/>
    </row>
    <row r="7" spans="1:8" ht="22.9" customHeight="1">
      <c r="A7" s="9" t="s">
        <v>80</v>
      </c>
      <c r="B7" s="11">
        <v>30</v>
      </c>
      <c r="C7" s="10">
        <v>350</v>
      </c>
      <c r="D7" s="10">
        <f t="shared" si="0"/>
        <v>10500</v>
      </c>
      <c r="E7" s="27">
        <f t="shared" si="1"/>
        <v>0.20431990659661411</v>
      </c>
      <c r="F7" s="9"/>
      <c r="G7" s="4"/>
      <c r="H7" s="4"/>
    </row>
    <row r="8" spans="1:8" ht="22.9" customHeight="1">
      <c r="A8" s="9" t="s">
        <v>81</v>
      </c>
      <c r="B8" s="11">
        <v>12</v>
      </c>
      <c r="C8" s="10">
        <v>220</v>
      </c>
      <c r="D8" s="10">
        <f t="shared" si="0"/>
        <v>2640</v>
      </c>
      <c r="E8" s="27">
        <f t="shared" si="1"/>
        <v>5.1371862230005838E-2</v>
      </c>
      <c r="F8" s="9"/>
      <c r="G8" s="4"/>
      <c r="H8" s="4"/>
    </row>
    <row r="9" spans="1:8" ht="22.9" customHeight="1">
      <c r="A9" s="9" t="s">
        <v>82</v>
      </c>
      <c r="B9" s="11">
        <v>22</v>
      </c>
      <c r="C9" s="10">
        <v>290</v>
      </c>
      <c r="D9" s="10">
        <f t="shared" si="0"/>
        <v>6380</v>
      </c>
      <c r="E9" s="27">
        <f t="shared" si="1"/>
        <v>0.12414866705584744</v>
      </c>
      <c r="F9" s="9"/>
      <c r="G9" s="4"/>
      <c r="H9" s="4"/>
    </row>
    <row r="10" spans="1:8" ht="22.9" customHeight="1">
      <c r="A10" s="9" t="s">
        <v>83</v>
      </c>
      <c r="B10" s="11">
        <v>8</v>
      </c>
      <c r="C10" s="10">
        <v>450</v>
      </c>
      <c r="D10" s="10">
        <f t="shared" si="0"/>
        <v>3600</v>
      </c>
      <c r="E10" s="27">
        <f t="shared" si="1"/>
        <v>7.0052539404553416E-2</v>
      </c>
      <c r="F10" s="9"/>
      <c r="G10" s="4"/>
      <c r="H10" s="4"/>
    </row>
    <row r="11" spans="1:8" ht="22.9" customHeight="1">
      <c r="A11" s="9"/>
      <c r="B11" s="11"/>
      <c r="C11" s="14"/>
      <c r="D11" s="14"/>
      <c r="E11" s="28"/>
      <c r="F11" s="9"/>
      <c r="G11" s="4"/>
      <c r="H11" s="4"/>
    </row>
    <row r="12" spans="1:8" ht="22.9" customHeight="1">
      <c r="B12" s="11"/>
      <c r="C12" s="13" t="s">
        <v>16</v>
      </c>
      <c r="D12" s="10">
        <f>SUM(D5:D10)</f>
        <v>51390</v>
      </c>
      <c r="E12" s="31">
        <f>SUM(E5:E10)</f>
        <v>1</v>
      </c>
      <c r="F12" s="9"/>
      <c r="G12" s="4"/>
      <c r="H12" s="4"/>
    </row>
    <row r="13" spans="1:8" ht="22.9" customHeight="1">
      <c r="A13" s="9"/>
      <c r="B13" s="11"/>
      <c r="C13" s="29" t="s">
        <v>17</v>
      </c>
      <c r="D13" s="10">
        <f>AVERAGE(D5:D10)</f>
        <v>8565</v>
      </c>
      <c r="E13" s="9"/>
      <c r="F13" s="9"/>
      <c r="G13" s="4"/>
      <c r="H13" s="4"/>
    </row>
    <row r="14" spans="1:8" ht="22.9" customHeight="1">
      <c r="A14" s="9"/>
      <c r="B14" s="11"/>
      <c r="C14" s="29" t="s">
        <v>18</v>
      </c>
      <c r="D14" s="10">
        <f>MIN(D5:D10)</f>
        <v>2640</v>
      </c>
      <c r="E14" s="9"/>
      <c r="F14" s="9"/>
      <c r="G14" s="4"/>
      <c r="H14" s="4"/>
    </row>
    <row r="15" spans="1:8" ht="22.9" customHeight="1">
      <c r="A15" s="9"/>
      <c r="B15" s="11"/>
      <c r="C15" s="29" t="s">
        <v>19</v>
      </c>
      <c r="D15" s="10">
        <f>MAX(D5:D10)</f>
        <v>16020</v>
      </c>
      <c r="E15" s="9"/>
      <c r="F15" s="9"/>
      <c r="G15" s="4"/>
      <c r="H15" s="4"/>
    </row>
    <row r="16" spans="1:8">
      <c r="A16" s="4"/>
      <c r="B16" s="5"/>
      <c r="C16" s="4"/>
      <c r="D16" s="4"/>
      <c r="E16" s="4"/>
      <c r="F16" s="4"/>
      <c r="G16" s="4"/>
      <c r="H16" s="4"/>
    </row>
    <row r="17" spans="1:8">
      <c r="A17" s="4"/>
      <c r="B17" s="5"/>
      <c r="C17" s="4"/>
      <c r="D17" s="4"/>
      <c r="E17" s="4"/>
      <c r="F17" s="4"/>
      <c r="G17" s="4"/>
      <c r="H17" s="4"/>
    </row>
    <row r="18" spans="1:8" ht="15">
      <c r="A18" s="15" t="s">
        <v>20</v>
      </c>
      <c r="B18" s="16"/>
      <c r="C18" s="15"/>
      <c r="D18" s="15"/>
      <c r="E18" s="15"/>
      <c r="F18" s="15"/>
      <c r="G18" s="15"/>
      <c r="H18" s="15"/>
    </row>
    <row r="19" spans="1:8" s="23" customFormat="1" ht="25.15" customHeight="1">
      <c r="A19" s="30" t="s">
        <v>84</v>
      </c>
      <c r="B19" s="30"/>
      <c r="C19" s="30"/>
      <c r="D19" s="30"/>
      <c r="E19" s="30"/>
      <c r="F19" s="30"/>
      <c r="G19" s="30"/>
      <c r="H19" s="30"/>
    </row>
    <row r="20" spans="1:8" s="23" customFormat="1" ht="25.15" customHeight="1">
      <c r="A20" s="30" t="s">
        <v>85</v>
      </c>
      <c r="B20" s="30"/>
      <c r="C20" s="30"/>
      <c r="D20" s="30"/>
      <c r="E20" s="30"/>
      <c r="F20" s="30"/>
      <c r="G20" s="30"/>
      <c r="H20" s="30"/>
    </row>
    <row r="21" spans="1:8" s="23" customFormat="1" ht="25.15" customHeight="1">
      <c r="A21" s="30" t="s">
        <v>86</v>
      </c>
      <c r="B21" s="30"/>
      <c r="C21" s="30"/>
      <c r="D21" s="30"/>
      <c r="E21" s="30"/>
      <c r="F21" s="30"/>
      <c r="G21" s="30"/>
      <c r="H21" s="30"/>
    </row>
    <row r="22" spans="1:8" s="23" customFormat="1" ht="25.15" customHeight="1">
      <c r="A22" s="30" t="s">
        <v>87</v>
      </c>
      <c r="B22" s="30"/>
      <c r="C22" s="30"/>
      <c r="D22" s="30"/>
      <c r="E22" s="30"/>
      <c r="F22" s="30"/>
      <c r="G22" s="30"/>
      <c r="H22" s="30"/>
    </row>
    <row r="23" spans="1:8" s="23" customFormat="1" ht="25.15" customHeight="1">
      <c r="A23" s="30" t="s">
        <v>88</v>
      </c>
      <c r="B23" s="30"/>
      <c r="C23" s="30"/>
      <c r="D23" s="30"/>
      <c r="E23" s="30"/>
      <c r="F23" s="30"/>
      <c r="G23" s="30"/>
      <c r="H23" s="30"/>
    </row>
    <row r="24" spans="1:8" s="23" customFormat="1" ht="25.15" customHeight="1">
      <c r="A24" s="30" t="s">
        <v>104</v>
      </c>
      <c r="B24" s="30"/>
      <c r="C24" s="30"/>
      <c r="D24" s="30"/>
      <c r="E24" s="30"/>
      <c r="F24" s="30"/>
      <c r="G24" s="30"/>
      <c r="H24" s="30"/>
    </row>
    <row r="25" spans="1:8" s="23" customFormat="1" ht="25.15" customHeight="1">
      <c r="A25" s="30" t="s">
        <v>89</v>
      </c>
      <c r="B25" s="30"/>
      <c r="C25" s="30"/>
      <c r="D25" s="30"/>
      <c r="E25" s="30"/>
      <c r="F25" s="30"/>
      <c r="G25" s="30"/>
      <c r="H25" s="30"/>
    </row>
    <row r="26" spans="1:8" ht="25.15" customHeight="1">
      <c r="A26" s="17"/>
      <c r="B26" s="5"/>
      <c r="C26" s="4"/>
      <c r="D26" s="4"/>
      <c r="E26" s="4"/>
      <c r="F26" s="4"/>
      <c r="G26" s="4"/>
      <c r="H26" s="4"/>
    </row>
  </sheetData>
  <mergeCells count="7">
    <mergeCell ref="A25:H25"/>
    <mergeCell ref="A19:H19"/>
    <mergeCell ref="A20:H20"/>
    <mergeCell ref="A21:H21"/>
    <mergeCell ref="A22:H22"/>
    <mergeCell ref="A23:H23"/>
    <mergeCell ref="A24:H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1 Bevásárlás</vt:lpstr>
      <vt:lpstr>2 Zsebpénz</vt:lpstr>
      <vt:lpstr>3 Könyvtár</vt:lpstr>
      <vt:lpstr>4 Iskolai büfé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Tulkán Csanád Tibor</cp:lastModifiedBy>
  <dcterms:created xsi:type="dcterms:W3CDTF">2026-09-29T19:10:18Z</dcterms:created>
  <dcterms:modified xsi:type="dcterms:W3CDTF">2026-09-30T08:39:29Z</dcterms:modified>
</cp:coreProperties>
</file>